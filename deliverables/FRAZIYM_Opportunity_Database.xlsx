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pportunities" sheetId="2" state="visible" r:id="rId4"/>
    <sheet name="Top 50" sheetId="3" state="visible" r:id="rId5"/>
    <sheet name="Clusters" sheetId="4" state="visible" r:id="rId6"/>
    <sheet name="Pricing Model" sheetId="5" state="visible" r:id="rId7"/>
    <sheet name="Revenue Scenarios" sheetId="6" state="visible" r:id="rId8"/>
    <sheet name="Payment Rails" sheetId="7" state="visible" r:id="rId9"/>
    <sheet name="Free Infra" sheetId="8" state="visible" r:id="rId10"/>
    <sheet name="AI Providers" sheetId="9" state="visible" r:id="rId11"/>
    <sheet name="Review" sheetId="10" state="visible" r:id="rId12"/>
  </sheets>
  <definedNames>
    <definedName function="false" hidden="true" localSheetId="1" name="_xlnm._FilterDatabase" vbProcedure="false">Opportunities!$B$4:$Y$251</definedName>
    <definedName function="false" hidden="true" localSheetId="2" name="_xlnm._FilterDatabase" vbProcedure="false">'Top 50'!$B$4:$K$54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<sst xmlns="http://schemas.openxmlformats.org/spreadsheetml/2006/main" count="3155" uniqueCount="1324">
  <si>
    <t xml:space="preserve">FRAZIYM — One Product, Many Tools | Opportunity Database</t>
  </si>
  <si>
    <t xml:space="preserve">What this file is</t>
  </si>
  <si>
    <t xml:space="preserve">Scored opportunity database for the FRAZIYM ecosystem: ONE subscription product that bundles 240+ micro-tools (including long-tail tools used &lt;=1x/month), priced per user plan — never per-tool, never underpriced. Built from 7 research streams (2026-09-02) with URL-sourced evidence.</t>
  </si>
  <si>
    <t xml:space="preserve">The 247 rows</t>
  </si>
  <si>
    <t xml:space="preserve">103 research-locked rows (from data-repair DR-*, e-commerce EC-*, devtools DV-*, weird-gold WG-* streams) + 144 long-tail catalog rows (GT-*, pattern-inherited E3, each pointing to its research parent). Every row = one tool/feature candidate for the platform.</t>
  </si>
  <si>
    <t xml:space="preserve">Evidence legend</t>
  </si>
  <si>
    <t xml:space="preserve">E1 = direct community complaint/thread found (highest confidence). E2 = verified product/pricing/docs fact. E3 = pattern-inferred hypothesis — validate before building. 79 E1 / 15 E2 / 153 E3.</t>
  </si>
  <si>
    <t xml:space="preserve">Scoring model (10 dims)</t>
  </si>
  <si>
    <t xml:space="preserve">Demand 20% | Pain 15% | Frequency 10% | Automation 15% | Monetization 10% | Distribution 10% | Competition 5% (high=low rivalry) | Infra-econ 5% | Ecosystem 5% | Defensibility 5%. Composite = weighted sum, 0-10.</t>
  </si>
  <si>
    <t xml:space="preserve">Platform roles</t>
  </si>
  <si>
    <t xml:space="preserve">HOOK = free acquisition surface (SEO traffic). GLUE = keeps users returning (daily utilities). PRO = paywall-worthy professional features. LTV = flagship high-value tools that justify the subscription on their own (e.g., bank-statement PDF-&gt;CSV replaces $49.95/mo DocuClipper).</t>
  </si>
  <si>
    <t xml:space="preserve">Tier fit</t>
  </si>
  <si>
    <t xml:space="preserve">FREE = hook tools (client-side, unlimited) | PRO = full toolbox + batch + no watermark | MAX = teams/API/AI-heavy/server-metered features.</t>
  </si>
  <si>
    <t xml:space="preserve">Anti-underpricing anchors</t>
  </si>
  <si>
    <t xml:space="preserve">Single-tool replacement costs verified in research: DocuClipper $49.95/mo, MoneyThumb $299.95, DataFeedWatch $59-64/mo, Matrixify $20-200/mo, Postman $14/user/mo, WP All Import $99-229/yr, Dext $13-20.50/mo. FRAZIYM PRO at $4.99 and STUDIO at $9.99 undercut every niche incumbent while covering all domains.</t>
  </si>
  <si>
    <t xml:space="preserve">Sheets</t>
  </si>
  <si>
    <t xml:space="preserve">Opportunities = full 247-row filterable database. Top 50 = ranked shortlist. Clusters = zone-level stats. Pricing Model = subscription tiers. Revenue Scenarios = $0.3-$30/day paths. Payment Rails = BD-no-bank payout options. Free Infra + AI Providers = $0 stack limits. Review = live cross-checks.</t>
  </si>
  <si>
    <t xml:space="preserve">Method note</t>
  </si>
  <si>
    <t xml:space="preserve">Scores are decision-support estimates combining evidence strength, parsed severity/frequency, automation class and verified pricing anchors — not survey data. Re-score before committing build slots. Sources per row live in research/opportunities.json (URLs included) and the Phase-1 research export.</t>
  </si>
  <si>
    <t xml:space="preserve">Prepared 2026-09-03 | Full sources: research/*.md + download/FRAZIYM_Research_Export_Phase1.md | Currency: USD</t>
  </si>
  <si>
    <t xml:space="preserve">All 247 Scored Opportunities (filterable)</t>
  </si>
  <si>
    <t xml:space="preserve">Rank</t>
  </si>
  <si>
    <t xml:space="preserve">ID</t>
  </si>
  <si>
    <t xml:space="preserve">Tool / Opportunity</t>
  </si>
  <si>
    <t xml:space="preserve">Zone</t>
  </si>
  <si>
    <t xml:space="preserve">Cluster</t>
  </si>
  <si>
    <t xml:space="preserve">Evidence</t>
  </si>
  <si>
    <t xml:space="preserve">Composite</t>
  </si>
  <si>
    <t xml:space="preserve">Demand</t>
  </si>
  <si>
    <t xml:space="preserve">Pain</t>
  </si>
  <si>
    <t xml:space="preserve">Freq</t>
  </si>
  <si>
    <t xml:space="preserve">Automation</t>
  </si>
  <si>
    <t xml:space="preserve">Monetize</t>
  </si>
  <si>
    <t xml:space="preserve">Distrib</t>
  </si>
  <si>
    <t xml:space="preserve">Comp*</t>
  </si>
  <si>
    <t xml:space="preserve">Infra</t>
  </si>
  <si>
    <t xml:space="preserve">Eco</t>
  </si>
  <si>
    <t xml:space="preserve">Defen</t>
  </si>
  <si>
    <t xml:space="preserve">Role</t>
  </si>
  <si>
    <t xml:space="preserve">Tier</t>
  </si>
  <si>
    <t xml:space="preserve">Effort h</t>
  </si>
  <si>
    <t xml:space="preserve">Maint min/wk</t>
  </si>
  <si>
    <t xml:space="preserve">AI</t>
  </si>
  <si>
    <t xml:space="preserve">SEO query / parent</t>
  </si>
  <si>
    <t xml:space="preserve">Problem (abridged)</t>
  </si>
  <si>
    <t xml:space="preserve">DR-C3</t>
  </si>
  <si>
    <t xml:space="preserve">Adobe Acrobat's subscription-only pricing outrages buyers who need occasional PDF editing/merging/forms.</t>
  </si>
  <si>
    <t xml:space="preserve">Data &amp; Repair</t>
  </si>
  <si>
    <t xml:space="preserve">Data &amp; File Repair</t>
  </si>
  <si>
    <t xml:space="preserve">E1</t>
  </si>
  <si>
    <t xml:space="preserve">HOOK</t>
  </si>
  <si>
    <t xml:space="preserve">FREE</t>
  </si>
  <si>
    <t xml:space="preserve">N</t>
  </si>
  <si>
    <t xml:space="preserve">DR-F1</t>
  </si>
  <si>
    <t xml:space="preserve">Bookkeepers cannot import bank transactions from PDF statements — QuickBooks Online users beg for PDF→CSV/Q...</t>
  </si>
  <si>
    <t xml:space="preserve">LTV</t>
  </si>
  <si>
    <t xml:space="preserve">PRO</t>
  </si>
  <si>
    <t xml:space="preserve">Y</t>
  </si>
  <si>
    <t xml:space="preserve">Bookkeepers cannot import bank transactions from PDF statements — QuickBooks Online users beg for PDF→CSV/QBO conversion and are desperate when banks close online history.</t>
  </si>
  <si>
    <t xml:space="preserve">GT-PDF-extract-DR-C2</t>
  </si>
  <si>
    <t xml:space="preserve">PDF Table Extractor to CSV (text-layer)</t>
  </si>
  <si>
    <t xml:space="preserve">E3</t>
  </si>
  <si>
    <t xml:space="preserve">extract tables from pdf to csv</t>
  </si>
  <si>
    <t xml:space="preserve">Long-tail tool instance: PDF Table Extractor to CSV (text-layer). Pattern-inherited pain evidence from DR-C2 cluster; ships as part of the mega-toolbox catalog (&lt;=1 use/month tools included by directive).</t>
  </si>
  <si>
    <t xml:space="preserve">DR-D2</t>
  </si>
  <si>
    <t xml:space="preserve">One conversion job requires stitching 3-5 different single-purpose sites/tools; users lose track and hit ea...</t>
  </si>
  <si>
    <t xml:space="preserve">One conversion job requires stitching 3-5 different single-purpose sites/tools; users lose track and hit each tool's free caps.</t>
  </si>
  <si>
    <t xml:space="preserve">DR-B2</t>
  </si>
  <si>
    <t xml:space="preserve">Multi-hundred-MB/GB JSON &amp; JSONL files crash or freeze editors (VS Code 5MB JSON mode limit; 700MB jsonline...</t>
  </si>
  <si>
    <t xml:space="preserve">Multi-hundred-MB/GB JSON &amp; JSONL files crash or freeze editors (VS Code 5MB JSON mode limit; 700MB jsonlines crashes VS Code).</t>
  </si>
  <si>
    <t xml:space="preserve">DR-H1</t>
  </si>
  <si>
    <t xml:space="preserve">SMBs and individuals still spend hours monthly on manual invoice/receipt data entry and want any automation...</t>
  </si>
  <si>
    <t xml:space="preserve">MAX</t>
  </si>
  <si>
    <t xml:space="preserve">SMBs and individuals still spend hours monthly on manual invoice/receipt data entry and want any automation that actually works.</t>
  </si>
  <si>
    <t xml:space="preserve">WG-G4</t>
  </si>
  <si>
    <t xml:space="preserve">Hallucinated citations — verifying AI-generated references</t>
  </si>
  <si>
    <t xml:space="preserve">Education &amp; Weird Gold</t>
  </si>
  <si>
    <t xml:space="preserve">Weird Gold / Education</t>
  </si>
  <si>
    <t xml:space="preserve">Nature-linked analysis: "Tens of thousands of publications from 2025 might include invalid references generated by AI" (r/technology thread: https://www.reddit.com/r/technology/comments/1sd0khs/); study: ChatGPT false-citation rates 6%–60% by domain (https://w</t>
  </si>
  <si>
    <t xml:space="preserve">GT-CSV-split-DR-B2</t>
  </si>
  <si>
    <t xml:space="preserve">CSV Splitter (rows / file size)</t>
  </si>
  <si>
    <t xml:space="preserve">split large csv files</t>
  </si>
  <si>
    <t xml:space="preserve">Long-tail tool instance: CSV Splitter (rows / file size). Pattern-inherited pain evidence from DR-B2 cluster; ships as part of the mega-toolbox catalog (&lt;=1 use/month tools included by directive).</t>
  </si>
  <si>
    <t xml:space="preserve">GT-CSV-excel-DR-A2</t>
  </si>
  <si>
    <t xml:space="preserve">Leading-Zero &amp; Date Guard (CSV open protector)</t>
  </si>
  <si>
    <t xml:space="preserve">excel removes leading zeros fix</t>
  </si>
  <si>
    <t xml:space="preserve">Long-tail tool instance: Leading-Zero &amp; Date Guard (CSV open protector). Pattern-inherited pain evidence from DR-A2 cluster; ships as part of the mega-toolbox catalog (&lt;=1 use/month tools included by directive).</t>
  </si>
  <si>
    <t xml:space="preserve">EC-C21</t>
  </si>
  <si>
    <t xml:space="preserve">Manually matching bank/UPI payments to invoices/orders — sellers literally work out "which combinations of ...</t>
  </si>
  <si>
    <t xml:space="preserve">E-commerce &amp; SMB</t>
  </si>
  <si>
    <t xml:space="preserve">E-commerce &amp; SMB Ops</t>
  </si>
  <si>
    <t xml:space="preserve">Manually matching bank/UPI payments to invoices/orders — sellers literally work out "which combinations of invoice amounts add up to each payment amount" on weekends; UPI/direct-transfer payments arrive with no references.</t>
  </si>
  <si>
    <t xml:space="preserve">DV-B1</t>
  </si>
  <si>
    <t xml:space="preserve">JSON viewers/editors crash or freeze on large (100MB–1GB+) JSON files, so devs fall back to command-line jq...</t>
  </si>
  <si>
    <t xml:space="preserve">DevTools &amp; Data</t>
  </si>
  <si>
    <t xml:space="preserve">Developer Tools</t>
  </si>
  <si>
    <t xml:space="preserve">strong free-tool wedge with clear upgrade path (browser WASM = differentiator "file never leaves your machine").</t>
  </si>
  <si>
    <t xml:space="preserve">JSON viewers/editors crash or freeze on large (100MB–1GB+) JSON files, so devs fall back to command-line jq or buy specialized viewers.</t>
  </si>
  <si>
    <t xml:space="preserve">DR-A2</t>
  </si>
  <si>
    <t xml:space="preserve">CSVs open with all data in one column or split wrongly because the delimiter is comma vs semicolon (Europea...</t>
  </si>
  <si>
    <t xml:space="preserve">CSVs open with all data in one column or split wrongly because the delimiter is comma vs semicolon (European locale) or SEP= line missing.</t>
  </si>
  <si>
    <t xml:space="preserve">EC-C28</t>
  </si>
  <si>
    <t xml:space="preserve">(Developing-market angle, partially inferred) Bangladesh/South-Asia micro-sellers keep records in manual kh...</t>
  </si>
  <si>
    <t xml:space="preserve">E2</t>
  </si>
  <si>
    <t xml:space="preserve">(Developing-market angle, partially inferred) Bangladesh/South-Asia micro-sellers keep records in manual khata notebooks or Excel; local-language/local-format accounting software is thin; bKash/wallet payment trails live in SMS and screenshots, not ledgers.</t>
  </si>
  <si>
    <t xml:space="preserve">EC-C29</t>
  </si>
  <si>
    <t xml:space="preserve">WhatsApp-order chaos: sellers take 20–30 orders/day as chat messages; tracking in notebook/Excel/memory; no...</t>
  </si>
  <si>
    <t xml:space="preserve">WhatsApp-order chaos: sellers take 20–30 orders/day as chat messages; tracking in notebook/Excel/memory; no order numbers, missed orders, no payment status.</t>
  </si>
  <si>
    <t xml:space="preserve">WG-G5</t>
  </si>
  <si>
    <t xml:space="preserve">AI-detector false positives — students need a provenance trail</t>
  </si>
  <si>
    <t xml:space="preserve">r/Teachers: "False positives from AI detection in education destroyed my [relationship with students]... One of them cried in my office" (https://www.reddit.com/r/Teachers/comments/1oqozxw/); districts face lawsuits over false accusations (https://www.reddit.c</t>
  </si>
  <si>
    <t xml:space="preserve">EC-C3</t>
  </si>
  <si>
    <t xml:space="preserve">Shopify rejects CSVs for invisible format reasons: non-UTF-8 encoding, illegal characters, wrong quoting — ...</t>
  </si>
  <si>
    <t xml:space="preserve">Shopify rejects CSVs for invisible format reasons: non-UTF-8 encoding, illegal characters, wrong quoting — error messages are cryptic.</t>
  </si>
  <si>
    <t xml:space="preserve">DV-B3</t>
  </si>
  <si>
    <t xml:space="preserve">CORS errors remain a top chronic frustration — devs don't understand why requests fail and the error masks ...</t>
  </si>
  <si>
    <t xml:space="preserve">huge traffic pool; monetize via related dev-tool bundle rather than the checker itself.</t>
  </si>
  <si>
    <t xml:space="preserve">CORS errors remain a top chronic frustration — devs don't understand why requests fail and the error masks the real problem.</t>
  </si>
  <si>
    <t xml:space="preserve">DR-C4</t>
  </si>
  <si>
    <t xml:space="preserve">Filled PDF form data disappears when printing/emailing/saving (form fields not flattened), and users don't ...</t>
  </si>
  <si>
    <t xml:space="preserve">Filled PDF form data disappears when printing/emailing/saving (form fields not flattened), and users don't know the term or the fix.</t>
  </si>
  <si>
    <t xml:space="preserve">EC-C26</t>
  </si>
  <si>
    <t xml:space="preserve">Bank-statement PDF→CSV: bookkeepers refuse "shady websites that claim to convert while also storing the dat...</t>
  </si>
  <si>
    <t xml:space="preserve">GLUE</t>
  </si>
  <si>
    <t xml:space="preserve">Bank-statement PDF→CSV: bookkeepers refuse "shady websites that claim to convert while also storing the data" — trust/privacy is the wedge (complements task 2-a's price-umbrella finding: DocuClipper ~$49.95/mo, MoneyThumb ~$299.95).</t>
  </si>
  <si>
    <t xml:space="preserve">DR-C2</t>
  </si>
  <si>
    <t xml:space="preserve">Scanned PDFs have no text layer / OCR errors — users can't search, copy, or correct the text.</t>
  </si>
  <si>
    <t xml:space="preserve">DR-D1</t>
  </si>
  <si>
    <t xml:space="preserve">Users are now *afraid* of free online converters — FBI + Malwarebytes confirm converter sites push malware/...</t>
  </si>
  <si>
    <t xml:space="preserve">Users are now *afraid* of free online converters — FBI + Malwarebytes confirm converter sites push malware/ransomware; privacy of sensitive docs is the blocker.</t>
  </si>
  <si>
    <t xml:space="preserve">DV-B10</t>
  </si>
  <si>
    <t xml:space="preserve">MySQL→PostgreSQL (and reverse) migrations require manual SQL dialect rewrites — type mappings, quote styles...</t>
  </si>
  <si>
    <t xml:space="preserve">paying audience + client-side feasible = strong rev-max candidate; correctness must be excellent.</t>
  </si>
  <si>
    <t xml:space="preserve">MySQL→PostgreSQL (and reverse) migrations require manual SQL dialect rewrites — type mappings, quote styles, function differences — and simple converter tools are asked for repeatedly.</t>
  </si>
  <si>
    <t xml:space="preserve">GT-JSON-json-DV-B2</t>
  </si>
  <si>
    <t xml:space="preserve">JSON to CSV (flatten, arrays-safe)</t>
  </si>
  <si>
    <t xml:space="preserve">json to csv converter</t>
  </si>
  <si>
    <t xml:space="preserve">Long-tail tool instance: JSON to CSV (flatten, arrays-safe). Pattern-inherited pain evidence from DV-B2 cluster; ships as part of the mega-toolbox catalog (&lt;=1 use/month tools included by directive).</t>
  </si>
  <si>
    <t xml:space="preserve">GT-CSV-csv-DR-A1-2</t>
  </si>
  <si>
    <t xml:space="preserve">Universal CSV Pre-flight Validator</t>
  </si>
  <si>
    <t xml:space="preserve">csv validator online</t>
  </si>
  <si>
    <t xml:space="preserve">Long-tail tool instance: Universal CSV Pre-flight Validator. Pattern-inherited pain evidence from DR-A1 cluster; ships as part of the mega-toolbox catalog (&lt;=1 use/month tools included by directive).</t>
  </si>
  <si>
    <t xml:space="preserve">GT-MKT-shopify-EC-C1</t>
  </si>
  <si>
    <t xml:space="preserve">Shopify Product CSV Pre-flight Validator</t>
  </si>
  <si>
    <t xml:space="preserve">shopify csv import errors</t>
  </si>
  <si>
    <t xml:space="preserve">Long-tail tool instance: Shopify Product CSV Pre-flight Validator. Pattern-inherited pain evidence from EC-C1 cluster; ships as part of the mega-toolbox catalog (&lt;=1 use/month tools included by directive).</t>
  </si>
  <si>
    <t xml:space="preserve">DR-F2</t>
  </si>
  <si>
    <t xml:space="preserve">CSV→QBO/OFX conversions fail validator checks (bank IDs, dates, amounts) and accounting software silently r...</t>
  </si>
  <si>
    <t xml:space="preserve">CSV→QBO/OFX conversions fail validator checks (bank IDs, dates, amounts) and accounting software silently rejects or duplicates imports.</t>
  </si>
  <si>
    <t xml:space="preserve">DR-F4</t>
  </si>
  <si>
    <t xml:space="preserve">Banks simply don't offer CSV/data downloads for business accounts — statements are PDF-only — so conversion...</t>
  </si>
  <si>
    <t xml:space="preserve">Banks simply don't offer CSV/data downloads for business accounts — statements are PDF-only — so conversion is forced on every bookkeeper.</t>
  </si>
  <si>
    <t xml:space="preserve">DR-A1</t>
  </si>
  <si>
    <t xml:space="preserve">Excel silently truncates/mangles big CSVs and strips leading zeros + rewrites dates, so re-imports into oth...</t>
  </si>
  <si>
    <t xml:space="preserve">Excel silently truncates/mangles big CSVs and strips leading zeros + rewrites dates, so re-imports into other systems fail.</t>
  </si>
  <si>
    <t xml:space="preserve">DV-B6</t>
  </si>
  <si>
    <t xml:space="preserve">Postman gutted its free plan (Feb–Mar 2026: 1 user only, collaboration features removed, $14/mo/member) — a...</t>
  </si>
  <si>
    <t xml:space="preserve">build SMALL wedge not full client: "paste curl → get shareable request + response inspector, no install". Timeliness flagged.</t>
  </si>
  <si>
    <t xml:space="preserve">Postman gutted its free plan (Feb–Mar 2026: 1 user only, collaboration features removed, $14/mo/member) — active anger window and migration search traffic.</t>
  </si>
  <si>
    <t xml:space="preserve">GT-CSV-csv-DR-A1</t>
  </si>
  <si>
    <t xml:space="preserve">CSV Delimiter Fixer</t>
  </si>
  <si>
    <t xml:space="preserve">csv wrong delimiter fix</t>
  </si>
  <si>
    <t xml:space="preserve">Long-tail tool instance: CSV Delimiter Fixer. Pattern-inherited pain evidence from DR-A1 cluster; ships as part of the mega-toolbox catalog (&lt;=1 use/month tools included by directive).</t>
  </si>
  <si>
    <t xml:space="preserve">DR-B1</t>
  </si>
  <si>
    <t xml:space="preserve">LLM-generated and human-edited JSON breaks parsers on trailing commas, single quotes, comments, unquoted ke...</t>
  </si>
  <si>
    <t xml:space="preserve">LLM-generated and human-edited JSON breaks parsers on trailing commas, single quotes, comments, unquoted keys — users hunt the offending char manually.</t>
  </si>
  <si>
    <t xml:space="preserve">DR-C1</t>
  </si>
  <si>
    <t xml:space="preserve">PDF→Excel conversion scrambles tables (merged cells, no grid lines, spanning headers) and users spend hours...</t>
  </si>
  <si>
    <t xml:space="preserve">PDF→Excel conversion scrambles tables (merged cells, no grid lines, spanning headers) and users spend hours cleaning.</t>
  </si>
  <si>
    <t xml:space="preserve">GT-CSV-find-DR-F1</t>
  </si>
  <si>
    <t xml:space="preserve">Duplicate Row Finder (exact + fuzzy)</t>
  </si>
  <si>
    <t xml:space="preserve">find duplicate rows csv</t>
  </si>
  <si>
    <t xml:space="preserve">Long-tail tool instance: Duplicate Row Finder (exact + fuzzy). Pattern-inherited pain evidence from DR-F1 cluster; ships as part of the mega-toolbox catalog (&lt;=1 use/month tools included by directive).</t>
  </si>
  <si>
    <t xml:space="preserve">DR-A5</t>
  </si>
  <si>
    <t xml:space="preserve">Marketplace/platform CSV imports (Shopify) fail on supplier CSVs because quoting, encoding, and column orde...</t>
  </si>
  <si>
    <t xml:space="preserve">Marketplace/platform CSV imports (Shopify) fail on supplier CSVs because quoting, encoding, and column order don't match Shopify's template.</t>
  </si>
  <si>
    <t xml:space="preserve">EC-C1</t>
  </si>
  <si>
    <t xml:space="preserve">"Supplier CSV import hell" — every supplier catalog update requires hours of manual fixing before Shopify a...</t>
  </si>
  <si>
    <t xml:space="preserve">"Supplier CSV import hell" — every supplier catalog update requires hours of manual fixing before Shopify accepts it: merged columns, wrong headers, images not importing, variants scrambled, "illegal quoting" errors.</t>
  </si>
  <si>
    <t xml:space="preserve">DR-A6</t>
  </si>
  <si>
    <t xml:space="preserve">Files &gt;1M rows can't be opened in Excel — users need to split huge CSVs and don't know how.</t>
  </si>
  <si>
    <t xml:space="preserve">EC-C7</t>
  </si>
  <si>
    <t xml:space="preserve">Multichannel inventory sync (Shopify+Etsy+eBay+Amazon+POS) for tiny sellers = overselling risk; enterprise ...</t>
  </si>
  <si>
    <t xml:space="preserve">Multichannel inventory sync (Shopify+Etsy+eBay+Amazon+POS) for tiny sellers = overselling risk; enterprise sync tools are overkill/too pricey, so sellers juggle spreadsheets.</t>
  </si>
  <si>
    <t xml:space="preserve">GT-JSON-fix-DV-B20</t>
  </si>
  <si>
    <t xml:space="preserve">JSON Repair / Error Fixer</t>
  </si>
  <si>
    <t xml:space="preserve">fix invalid json online</t>
  </si>
  <si>
    <t xml:space="preserve">Long-tail tool instance: JSON Repair / Error Fixer. Pattern-inherited pain evidence from DV-B20 cluster; ships as part of the mega-toolbox catalog (&lt;=1 use/month tools included by directive).</t>
  </si>
  <si>
    <t xml:space="preserve">GT-CSV-convert-DR-A2</t>
  </si>
  <si>
    <t xml:space="preserve">CSV Encoding Converter (UTF-8/GBK/1252)</t>
  </si>
  <si>
    <t xml:space="preserve">convert csv encoding utf-8</t>
  </si>
  <si>
    <t xml:space="preserve">Long-tail tool instance: CSV Encoding Converter (UTF-8/GBK/1252). Pattern-inherited pain evidence from DR-A2 cluster; ships as part of the mega-toolbox catalog (&lt;=1 use/month tools included by directive).</t>
  </si>
  <si>
    <t xml:space="preserve">DR-G3</t>
  </si>
  <si>
    <t xml:space="preserve">PDF-pasted or exported text arrives with broken line breaks/mid-word wraps, and cleaning it into one-row-pe...</t>
  </si>
  <si>
    <t xml:space="preserve">PDF-pasted or exported text arrives with broken line breaks/mid-word wraps, and cleaning it into one-row-per-record is manual.</t>
  </si>
  <si>
    <t xml:space="preserve">WG-G17</t>
  </si>
  <si>
    <t xml:space="preserve">BCS &amp; competitive-exam prep: question banks exist, access costs</t>
  </si>
  <si>
    <t xml:space="preserve">scale of demand: Ogroshor claims "1,600,847+ questions" practice bank (https://ogroshor.com); Studypress markets "All BCS 10th–45th questions and solutions" (https://studypress.org); Android apps with 100k+ MCQs (https://play.google.com/store/apps/details?id=c</t>
  </si>
  <si>
    <t xml:space="preserve">DR-G2</t>
  </si>
  <si>
    <t xml:space="preserve">Merged cells destroy sort/filter/pivot operations; analysts inherit "pretty" reports and must un-merge + ba...</t>
  </si>
  <si>
    <t xml:space="preserve">Merged cells destroy sort/filter/pivot operations; analysts inherit "pretty" reports and must un-merge + backfill.</t>
  </si>
  <si>
    <t xml:space="preserve">WG-G1</t>
  </si>
  <si>
    <t xml:space="preserve">Quizlet paywall betrayal — teachers can't assign study modes anymore</t>
  </si>
  <si>
    <t xml:space="preserve">r/Teachers: "I rely heavily on Quizlet but now its main mode is no longer free so I can't expect students to use it" (https://www.reddit.com/r/Teachers/comments/x3a1lg/); r/quizlet: "extremely disappointed and saddened... two of their most essential learning t</t>
  </si>
  <si>
    <t xml:space="preserve">GT-JSON-csv-DV-B2</t>
  </si>
  <si>
    <t xml:space="preserve">CSV to JSON</t>
  </si>
  <si>
    <t xml:space="preserve">csv to json converter</t>
  </si>
  <si>
    <t xml:space="preserve">Long-tail tool instance: CSV to JSON. Pattern-inherited pain evidence from DV-B2 cluster; ships as part of the mega-toolbox catalog (&lt;=1 use/month tools included by directive).</t>
  </si>
  <si>
    <t xml:space="preserve">EC-C6</t>
  </si>
  <si>
    <t xml:space="preserve">Supplier price/stock scheduled sync: tiny dropshippers must periodically re-pull supplier CSV/FTP feeds and...</t>
  </si>
  <si>
    <t xml:space="preserve">Supplier price/stock scheduled sync: tiny dropshippers must periodically re-pull supplier CSV/FTP feeds and update Shopify price+inventory; manual process causes stale stock and overselling.</t>
  </si>
  <si>
    <t xml:space="preserve">WG-G6</t>
  </si>
  <si>
    <t xml:space="preserve">De-slopping AI text (writers/marketers)</t>
  </si>
  <si>
    <t xml:space="preserve">"the actual job became editing AI drafts and nobody warned me the editing is harder than the writing" (https://www.reddit.com/r/content_marketing/comments/1v39e5a/); "HOW TO REMOVE AI SLOP FROM YOUR WRITING" guides (https://www.reddit.com/r/WritingWithAI/comme</t>
  </si>
  <si>
    <t xml:space="preserve">DR-B3</t>
  </si>
  <si>
    <t xml:space="preserve">JSON↔CSV conversion of nested data is "almost impossible" for practitioners — array-of-struct nesting flatt...</t>
  </si>
  <si>
    <t xml:space="preserve">JSON↔CSV conversion of nested data is "almost impossible" for practitioners — array-of-struct nesting flattens wrong, columns explode.</t>
  </si>
  <si>
    <t xml:space="preserve">DR-G1</t>
  </si>
  <si>
    <t xml:space="preserve">Fuzzy duplicate removal (same company with typos/abbreviations) is beyond Excel's exact-match Remove Duplic...</t>
  </si>
  <si>
    <t xml:space="preserve">Fuzzy duplicate removal (same company with typos/abbreviations) is beyond Excel's exact-match Remove Duplicates.</t>
  </si>
  <si>
    <t xml:space="preserve">EC-C9</t>
  </si>
  <si>
    <t xml:space="preserve">"Amazon flat file formatting is hell": category templates keep changing, one blank required field fails the...</t>
  </si>
  <si>
    <t xml:space="preserve">"Amazon flat file formatting is hell": category templates keep changing, one blank required field fails the whole row, Data Definitions tab archaeology, character limits per field.</t>
  </si>
  <si>
    <t xml:space="preserve">EC-C15</t>
  </si>
  <si>
    <t xml:space="preserve">Google Merchant Center disapprovals spike suddenly and in bulk: price-mismatch, missing GTIN, misclassified...</t>
  </si>
  <si>
    <t xml:space="preserve">Google Merchant Center disapprovals spike suddenly and in bulk: price-mismatch, missing GTIN, misclassified policy flags (e.g., 530 products flagged "Alcoholic drinks" wrongly); fixes require per-attribute edits across the feed.</t>
  </si>
  <si>
    <t xml:space="preserve">GT-CSV-xlsx-DR-A1</t>
  </si>
  <si>
    <t xml:space="preserve">XLSX to CSV / CSV to XLSX</t>
  </si>
  <si>
    <t xml:space="preserve">xlsx to csv converter</t>
  </si>
  <si>
    <t xml:space="preserve">Long-tail tool instance: XLSX to CSV / CSV to XLSX. Pattern-inherited pain evidence from DR-A1 cluster; ships as part of the mega-toolbox catalog (&lt;=1 use/month tools included by directive).</t>
  </si>
  <si>
    <t xml:space="preserve">GT-MKT-amazon-EC-C9</t>
  </si>
  <si>
    <t xml:space="preserve">Amazon Flat File Pre-flight (8541 etc.)</t>
  </si>
  <si>
    <t xml:space="preserve">amazon flat file errors</t>
  </si>
  <si>
    <t xml:space="preserve">Long-tail tool instance: Amazon Flat File Pre-flight (8541 etc.). Pattern-inherited pain evidence from EC-C9 cluster; ships as part of the mega-toolbox catalog (&lt;=1 use/month tools included by directive).</t>
  </si>
  <si>
    <t xml:space="preserve">EC-C8</t>
  </si>
  <si>
    <t xml:space="preserve">Amazon error 8541 ("single matching error") blocks listing/edits when product ID matches an existing ASIN w...</t>
  </si>
  <si>
    <t xml:space="preserve">Amazon error 8541 ("single matching error") blocks listing/edits when product ID matches an existing ASIN with conflicting attributes; fix workflow is arcane (flat file partial update, product ID toggling).</t>
  </si>
  <si>
    <t xml:space="preserve">DV-B2</t>
  </si>
  <si>
    <t xml:space="preserve">JSON ↔ JSONL (JSON Lines) conversion confusion — devs routinely ask how to convert arrays to JSONL and back...</t>
  </si>
  <si>
    <t xml:space="preserve">validated demand + fragmented low-trust supply = classic micro-tool opening.</t>
  </si>
  <si>
    <t xml:space="preserve">JSON ↔ JSONL (JSON Lines) conversion confusion — devs routinely ask how to convert arrays to JSONL and back for ML training data, logs, and APIs.</t>
  </si>
  <si>
    <t xml:space="preserve">GT-JSON-json-DV-B1</t>
  </si>
  <si>
    <t xml:space="preserve">JSON Formatter &amp; Validator</t>
  </si>
  <si>
    <t xml:space="preserve">json formatter online</t>
  </si>
  <si>
    <t xml:space="preserve">Long-tail tool instance: JSON Formatter &amp; Validator. Pattern-inherited pain evidence from DV-B1 cluster; ships as part of the mega-toolbox catalog (&lt;=1 use/month tools included by directive).</t>
  </si>
  <si>
    <t xml:space="preserve">DV-B7</t>
  </si>
  <si>
    <t xml:space="preserve">Webhook testing requires a public URL + request inspection — existing free tools have limits and the workfl...</t>
  </si>
  <si>
    <t xml:space="preserve">pairs with B8 (tunnels) into one "webhook workspace" micro-product.</t>
  </si>
  <si>
    <t xml:space="preserve">Webhook testing requires a public URL + request inspection — existing free tools have limits and the workflow spans 3+ tools (tunnel + bin + replayer).</t>
  </si>
  <si>
    <t xml:space="preserve">WG-G20</t>
  </si>
  <si>
    <t xml:space="preserve">Spreadsheets-as-products: people repeatedly ask "how do I build X in Excel/Sheets" — and PAY for templates</t>
  </si>
  <si>
    <t xml:space="preserve">tenant-ledger spreadsheets are SOLD on Etsy (https://www.etsy.com/market/tenant_ledger_spreadsheet); gig drivers maintain community spreadsheets (https://www.reddit.com/r/DoorDashDrivers/comments/199idff/; https://www.facebook.com/groups/1457430271994284/posts</t>
  </si>
  <si>
    <t xml:space="preserve">GT-PDF-compress-DR-C1</t>
  </si>
  <si>
    <t xml:space="preserve">PDF Compressor</t>
  </si>
  <si>
    <t xml:space="preserve">compress pdf online free</t>
  </si>
  <si>
    <t xml:space="preserve">Long-tail tool instance: PDF Compressor. Pattern-inherited pain evidence from DR-C1 cluster; ships as part of the mega-toolbox catalog (&lt;=1 use/month tools included by directive).</t>
  </si>
  <si>
    <t xml:space="preserve">GT-TG-telegram-platform</t>
  </si>
  <si>
    <t xml:space="preserve">Telegram Mini App Shell (Stars-native checkout)</t>
  </si>
  <si>
    <t xml:space="preserve">BD &amp; Telegram</t>
  </si>
  <si>
    <t xml:space="preserve">Telegram / BD</t>
  </si>
  <si>
    <t xml:space="preserve">telegram mini app tools</t>
  </si>
  <si>
    <t xml:space="preserve">Long-tail tool instance: Telegram Mini App Shell (Stars-native checkout). Pattern-inherited pain evidence from platform cluster; ships as part of the mega-toolbox catalog (&lt;=1 use/month tools included by directive).</t>
  </si>
  <si>
    <t xml:space="preserve">EC-C5</t>
  </si>
  <si>
    <t xml:space="preserve">Shopify still has NO native way to import/edit metafields via product CSV — users resort to third-party app...</t>
  </si>
  <si>
    <t xml:space="preserve">Shopify still has NO native way to import/edit metafields via product CSV — users resort to third-party apps and call it crazy.</t>
  </si>
  <si>
    <t xml:space="preserve">EC-C18</t>
  </si>
  <si>
    <t xml:space="preserve">Bulk product-photo background removal &amp; processing costs anger small catalogs: outsourcing $2–7/image, per-...</t>
  </si>
  <si>
    <t xml:space="preserve">Bulk product-photo background removal &amp; processing costs anger small catalogs: outsourcing $2–7/image, per-image SaaS fees ($0.20–$1.50) "add up extremely fast"; sellers want bulk/one-time/local processing.</t>
  </si>
  <si>
    <t xml:space="preserve">WG-G10</t>
  </si>
  <si>
    <t xml:space="preserve">Gig-driver income/expense/mileage tracking</t>
  </si>
  <si>
    <t xml:space="preserve">r/GigWork: "how do you keep track of how much you're making vs. what you're spending?" (https://www.reddit.com/r/GigWork/comments/1id6uyo/); a dev built MileLog "after getting tired of messy spreadsheets" and launched free on r/uberdrivers (https://www.reddit.</t>
  </si>
  <si>
    <t xml:space="preserve">GT-JSON-json-DV-B1-2</t>
  </si>
  <si>
    <t xml:space="preserve">JSON Diff Checker</t>
  </si>
  <si>
    <t xml:space="preserve">json diff online</t>
  </si>
  <si>
    <t xml:space="preserve">Long-tail tool instance: JSON Diff Checker. Pattern-inherited pain evidence from DV-B1 cluster; ships as part of the mega-toolbox catalog (&lt;=1 use/month tools included by directive).</t>
  </si>
  <si>
    <t xml:space="preserve">GT-JSON-json-DV-B14</t>
  </si>
  <si>
    <t xml:space="preserve">JSON to TypeScript / Go / Java Types</t>
  </si>
  <si>
    <t xml:space="preserve">json to typescript</t>
  </si>
  <si>
    <t xml:space="preserve">Long-tail tool instance: JSON to TypeScript / Go / Java Types. Pattern-inherited pain evidence from DV-B14 cluster; ships as part of the mega-toolbox catalog (&lt;=1 use/month tools included by directive).</t>
  </si>
  <si>
    <t xml:space="preserve">WG-G16</t>
  </si>
  <si>
    <t xml:space="preserve">Podcast show notes — "one of the most hated steps of podcasting"</t>
  </si>
  <si>
    <t xml:space="preserve">School of Podcasting: "One of the most hated steps of podcasting is writing show notes" (https://www.schoolofpodcasting.com/tackling-show-notes-how-long-should-my-notes-be); r/podcasting thread on show-notes time sinks (https://www.reddit.com/r/podcasting/comm</t>
  </si>
  <si>
    <t xml:space="preserve">DR-S3</t>
  </si>
  <si>
    <t xml:space="preserve">YouTube auto-generated VTT subs convert to SRT with the same line repeated 2-4x and inline timestamps — con...</t>
  </si>
  <si>
    <t xml:space="preserve">YouTube auto-generated VTT subs convert to SRT with the same line repeated 2-4x and inline timestamps — converters break.</t>
  </si>
  <si>
    <t xml:space="preserve">GT-CSV-merge-DR-B2</t>
  </si>
  <si>
    <t xml:space="preserve">CSV Merger / Concatenator</t>
  </si>
  <si>
    <t xml:space="preserve">merge csv files online</t>
  </si>
  <si>
    <t xml:space="preserve">Long-tail tool instance: CSV Merger / Concatenator. Pattern-inherited pain evidence from DR-B2 cluster; ships as part of the mega-toolbox catalog (&lt;=1 use/month tools included by directive).</t>
  </si>
  <si>
    <t xml:space="preserve">DR-S1</t>
  </si>
  <si>
    <t xml:space="preserve">Downloaded subtitles are out of sync by a fixed offset (or drift due to FPS mismatch) and casual users can'...</t>
  </si>
  <si>
    <t xml:space="preserve">Downloaded subtitles are out of sync by a fixed offset (or drift due to FPS mismatch) and casual users can't fix them.</t>
  </si>
  <si>
    <t xml:space="preserve">EC-C22</t>
  </si>
  <si>
    <t xml:space="preserve">Reconciling Stripe/PayPal/processor CSVs against bank settlements: fees, refunds, and payout netting make r...</t>
  </si>
  <si>
    <t xml:space="preserve">Reconciling Stripe/PayPal/processor CSVs against bank settlements: fees, refunds, and payout netting make rows not line up; month-end becomes a "nightmare".</t>
  </si>
  <si>
    <t xml:space="preserve">GT-PDF-merge-DR-C1</t>
  </si>
  <si>
    <t xml:space="preserve">PDF Merge</t>
  </si>
  <si>
    <t xml:space="preserve">merge pdf online free</t>
  </si>
  <si>
    <t xml:space="preserve">Long-tail tool instance: PDF Merge. Pattern-inherited pain evidence from DR-C1 cluster; ships as part of the mega-toolbox catalog (&lt;=1 use/month tools included by directive).</t>
  </si>
  <si>
    <t xml:space="preserve">GT-PDF-flatten-DR-C4</t>
  </si>
  <si>
    <t xml:space="preserve">PDF Form Flattener</t>
  </si>
  <si>
    <t xml:space="preserve">flatten pdf form online</t>
  </si>
  <si>
    <t xml:space="preserve">Long-tail tool instance: PDF Form Flattener. Pattern-inherited pain evidence from DR-C4 cluster; ships as part of the mega-toolbox catalog (&lt;=1 use/month tools included by directive).</t>
  </si>
  <si>
    <t xml:space="preserve">GT-IMG-compress-EC-C10</t>
  </si>
  <si>
    <t xml:space="preserve">Image Compressor (WASM mozjpeg/avif)</t>
  </si>
  <si>
    <t xml:space="preserve">Media &amp; Image</t>
  </si>
  <si>
    <t xml:space="preserve">compress jpeg online</t>
  </si>
  <si>
    <t xml:space="preserve">Long-tail tool instance: Image Compressor (WASM mozjpeg/avif). Pattern-inherited pain evidence from EC-C10 cluster; ships as part of the mega-toolbox catalog (&lt;=1 use/month tools included by directive).</t>
  </si>
  <si>
    <t xml:space="preserve">GT-EDU-bcs-WG-G17</t>
  </si>
  <si>
    <t xml:space="preserve">MCQ Practice Web App + Telegram Bot</t>
  </si>
  <si>
    <t xml:space="preserve">bcs question bank online</t>
  </si>
  <si>
    <t xml:space="preserve">Long-tail tool instance: MCQ Practice Web App + Telegram Bot. Pattern-inherited pain evidence from WG-G17 cluster; ships as part of the mega-toolbox catalog (&lt;=1 use/month tools included by directive).</t>
  </si>
  <si>
    <t xml:space="preserve">DR-A3</t>
  </si>
  <si>
    <t xml:space="preserve">CSV files with wrong/legacy encoding (Windows-1252, Latin-1, MacRoman) show mojibake ("Ã©", "â€™") downstre...</t>
  </si>
  <si>
    <t xml:space="preserve">CSV files with wrong/legacy encoding (Windows-1252, Latin-1, MacRoman) show mojibake ("Ã©", "â€™") downstream and break imports.</t>
  </si>
  <si>
    <t xml:space="preserve">WG-G9</t>
  </si>
  <si>
    <t xml:space="preserve">Landlord rent ledgers — especially IRREGULAR payments</t>
  </si>
  <si>
    <t xml:space="preserve">r/Landlord: "Can anyone suggest a basic and FREE software" (https://www.reddit.com/r/Landlord/comments/13rft38/); r/Landlord: income/expense tracking "starting to get overwhelming" (https://www.reddit.com/r/Landlord/comments/1hwh9u1/); r/AusPropertyChat: "trac</t>
  </si>
  <si>
    <t xml:space="preserve">GT-CSV-clean-DR-A1</t>
  </si>
  <si>
    <t xml:space="preserve">CSV Cleaner (trim/quotes/blank rows)</t>
  </si>
  <si>
    <t xml:space="preserve">clean csv data online</t>
  </si>
  <si>
    <t xml:space="preserve">Long-tail tool instance: CSV Cleaner (trim/quotes/blank rows). Pattern-inherited pain evidence from DR-A1 cluster; ships as part of the mega-toolbox catalog (&lt;=1 use/month tools included by directive).</t>
  </si>
  <si>
    <t xml:space="preserve">GT-SUB-shift-DR-S2</t>
  </si>
  <si>
    <t xml:space="preserve">SRT Offset / Timeshift Tool</t>
  </si>
  <si>
    <t xml:space="preserve">shift srt subtitles</t>
  </si>
  <si>
    <t xml:space="preserve">Long-tail tool instance: SRT Offset / Timeshift Tool. Pattern-inherited pain evidence from DR-S2 cluster; ships as part of the mega-toolbox catalog (&lt;=1 use/month tools included by directive).</t>
  </si>
  <si>
    <t xml:space="preserve">EC-C20</t>
  </si>
  <si>
    <t xml:space="preserve">WooCommerce import monopoly pricing: WP All Import is "massive price tag" ($99–229/yr, reported) and users ...</t>
  </si>
  <si>
    <t xml:space="preserve">WooCommerce import monopoly pricing: WP All Import is "massive price tag" ($99–229/yr, reported) and users can't find decent alternatives; built-in Woo importer lacks scheduling/field-mapping power.</t>
  </si>
  <si>
    <t xml:space="preserve">GT-PDF-split-DR-C1</t>
  </si>
  <si>
    <t xml:space="preserve">PDF Split / Extract Range</t>
  </si>
  <si>
    <t xml:space="preserve">split pdf online free</t>
  </si>
  <si>
    <t xml:space="preserve">Long-tail tool instance: PDF Split / Extract Range. Pattern-inherited pain evidence from DR-C1 cluster; ships as part of the mega-toolbox catalog (&lt;=1 use/month tools included by directive).</t>
  </si>
  <si>
    <t xml:space="preserve">DR-F5</t>
  </si>
  <si>
    <t xml:space="preserve">WooCommerce product CSV imports fail on image URLs ("unable to use image"), server limits, and Excel-mangle...</t>
  </si>
  <si>
    <t xml:space="preserve">WooCommerce product CSV imports fail on image URLs ("unable to use image"), server limits, and Excel-mangled files.</t>
  </si>
  <si>
    <t xml:space="preserve">EC-C17</t>
  </si>
  <si>
    <t xml:space="preserve">Product-feed management tools price out tiny sellers: feed optimization starts ~$59–64/mo while small selle...</t>
  </si>
  <si>
    <t xml:space="preserve">Product-feed management tools price out tiny sellers: feed optimization starts ~$59–64/mo while small sellers just need error fixes + a few field rules.</t>
  </si>
  <si>
    <t xml:space="preserve">WG-G15</t>
  </si>
  <si>
    <t xml:space="preserve">Wedding planning spreadsheets (guest list hell)</t>
  </si>
  <si>
    <t xml:space="preserve">r/weddingplanning constantly exchanges/begs for spreadsheets: template thread (https://www.reddit.com/r/weddingplanning/comments/1bz4g8n/), "Struggling with how to even start making a guest list" using Excel columns (https://www.reddit.com/r/weddingplanning/co</t>
  </si>
  <si>
    <t xml:space="preserve">DR-F3</t>
  </si>
  <si>
    <t xml:space="preserve">Invoice/receipt data extraction tools are priced for enterprises ($500-$1,500/mo floors), locking out small...</t>
  </si>
  <si>
    <t xml:space="preserve">Invoice/receipt data extraction tools are priced for enterprises ($500-$1,500/mo floors), locking out small businesses who just have a folder of PDFs.</t>
  </si>
  <si>
    <t xml:space="preserve">EC-C4</t>
  </si>
  <si>
    <t xml:space="preserve">Shopify CSV variant semantics are unforgiving: sorting rows breaks variant↔image links, duplicate option va...</t>
  </si>
  <si>
    <t xml:space="preserve">Shopify CSV variant semantics are unforgiving: sorting rows breaks variant↔image links, duplicate option values error out, one image per variant limit, Handle/Variant-ID bookkeeping overwrites or duplicates products.</t>
  </si>
  <si>
    <t xml:space="preserve">GT-SEC-qr-DV-B20</t>
  </si>
  <si>
    <t xml:space="preserve">QR Code Generator (logo + batch)</t>
  </si>
  <si>
    <t xml:space="preserve">Web &amp; Text Utilities</t>
  </si>
  <si>
    <t xml:space="preserve">qr code generator free</t>
  </si>
  <si>
    <t xml:space="preserve">Long-tail tool instance: QR Code Generator (logo + batch). Pattern-inherited pain evidence from DV-B20 cluster; ships as part of the mega-toolbox catalog (&lt;=1 use/month tools included by directive).</t>
  </si>
  <si>
    <t xml:space="preserve">EC-C10</t>
  </si>
  <si>
    <t xml:space="preserve">Etsy has no real CSV import for listing edits; sellers enter variants by hand or pay for limited uploaders;...</t>
  </si>
  <si>
    <t xml:space="preserve">Etsy has no real CSV import for listing edits; sellers enter variants by hand or pay for limited uploaders; Etsy's native CSV upload is new-listing-only and variant-awkward.</t>
  </si>
  <si>
    <t xml:space="preserve">DV-B5</t>
  </si>
  <si>
    <t xml:space="preserve">Converting curl commands (copied from docs/DevTools) into Python/JS/PHP code is a standing need — proven by...</t>
  </si>
  <si>
    <t xml:space="preserve">entering head-on = fighting free incumbents; differentiation must come from bundle/ecosystem (e.g. curl → replayable request bin link).</t>
  </si>
  <si>
    <t xml:space="preserve">Converting curl commands (copied from docs/DevTools) into Python/JS/PHP code is a standing need — proven by an entire category of converter sites.</t>
  </si>
  <si>
    <t xml:space="preserve">EC-C23</t>
  </si>
  <si>
    <t xml:space="preserve">Chasing unpaid invoices is socially awkward and un-systematized for freelancers: "I usually give a week's g...</t>
  </si>
  <si>
    <t xml:space="preserve">Chasing unpaid invoices is socially awkward and un-systematized for freelancers: "I usually give a week's grace… then start contacting every day"; automated escalating reminders are the stated fix.</t>
  </si>
  <si>
    <t xml:space="preserve">GT-JSON-json-DV-B20</t>
  </si>
  <si>
    <t xml:space="preserve">JSON Escape / Unescape</t>
  </si>
  <si>
    <t xml:space="preserve">json escape online</t>
  </si>
  <si>
    <t xml:space="preserve">Long-tail tool instance: JSON Escape / Unescape. Pattern-inherited pain evidence from DV-B20 cluster; ships as part of the mega-toolbox catalog (&lt;=1 use/month tools included by directive).</t>
  </si>
  <si>
    <t xml:space="preserve">GT-CSV-csv-DR-B1</t>
  </si>
  <si>
    <t xml:space="preserve">CSV to SQL INSERT Generator</t>
  </si>
  <si>
    <t xml:space="preserve">csv to sql insert</t>
  </si>
  <si>
    <t xml:space="preserve">Long-tail tool instance: CSV to SQL INSERT Generator. Pattern-inherited pain evidence from DR-B1 cluster; ships as part of the mega-toolbox catalog (&lt;=1 use/month tools included by directive).</t>
  </si>
  <si>
    <t xml:space="preserve">GT-SUB-srt-DR-S1</t>
  </si>
  <si>
    <t xml:space="preserve">SRT to VTT Converter</t>
  </si>
  <si>
    <t xml:space="preserve">srt to vtt converter</t>
  </si>
  <si>
    <t xml:space="preserve">Long-tail tool instance: SRT to VTT Converter. Pattern-inherited pain evidence from DR-S1 cluster; ships as part of the mega-toolbox catalog (&lt;=1 use/month tools included by directive).</t>
  </si>
  <si>
    <t xml:space="preserve">GT-SQL-sql-DV-B10</t>
  </si>
  <si>
    <t xml:space="preserve">SQL Formatter / Beautifier</t>
  </si>
  <si>
    <t xml:space="preserve">sql formatter online</t>
  </si>
  <si>
    <t xml:space="preserve">Long-tail tool instance: SQL Formatter / Beautifier. Pattern-inherited pain evidence from DV-B10 cluster; ships as part of the mega-toolbox catalog (&lt;=1 use/month tools included by directive).</t>
  </si>
  <si>
    <t xml:space="preserve">DV-B15</t>
  </si>
  <si>
    <t xml:space="preserve">Unix timestamp/timezone conversion errors — devs repeatedly confuse epoch vs local time, DST edges, and lan...</t>
  </si>
  <si>
    <t xml:space="preserve">batch timestamp→human-readable converter + timezone-aware cron preview = ecosystem glue.</t>
  </si>
  <si>
    <t xml:space="preserve">Unix timestamp/timezone conversion errors — devs repeatedly confuse epoch vs local time, DST edges, and language-specific parsing (TZ env pitfalls).</t>
  </si>
  <si>
    <t xml:space="preserve">DV-B4</t>
  </si>
  <si>
    <t xml:space="preserve">Cryptic API error responses cost hours — teams build tribal knowledge around undocumented 4xx/5xx bodies.</t>
  </si>
  <si>
    <t xml:space="preserve">pairs naturally with AI gateway (B-row feeds router usage).</t>
  </si>
  <si>
    <t xml:space="preserve">GT-FIN-convert-DR-D1</t>
  </si>
  <si>
    <t xml:space="preserve">OFX / QBO to CSV Converter</t>
  </si>
  <si>
    <t xml:space="preserve">convert qbo to csv</t>
  </si>
  <si>
    <t xml:space="preserve">Long-tail tool instance: OFX / QBO to CSV Converter. Pattern-inherited pain evidence from DR-D1 cluster; ships as part of the mega-toolbox catalog (&lt;=1 use/month tools included by directive).</t>
  </si>
  <si>
    <t xml:space="preserve">GT-SQL-convert-DV-B15</t>
  </si>
  <si>
    <t xml:space="preserve">Epoch / ISO / Timezone Batch Converter</t>
  </si>
  <si>
    <t xml:space="preserve">convert epoch batch</t>
  </si>
  <si>
    <t xml:space="preserve">Long-tail tool instance: Epoch / ISO / Timezone Batch Converter. Pattern-inherited pain evidence from DV-B15 cluster; ships as part of the mega-toolbox catalog (&lt;=1 use/month tools included by directive).</t>
  </si>
  <si>
    <t xml:space="preserve">GT-CFG-yaml-DV-B19</t>
  </si>
  <si>
    <t xml:space="preserve">YAML to JSON to TOML Converter</t>
  </si>
  <si>
    <t xml:space="preserve">yaml to json toml converter</t>
  </si>
  <si>
    <t xml:space="preserve">Long-tail tool instance: YAML to JSON to TOML Converter. Pattern-inherited pain evidence from DV-B19 cluster; ships as part of the mega-toolbox catalog (&lt;=1 use/month tools included by directive).</t>
  </si>
  <si>
    <t xml:space="preserve">GT-SEC-base64-DV-B20</t>
  </si>
  <si>
    <t xml:space="preserve">Base64 Encoder / Decoder (+files)</t>
  </si>
  <si>
    <t xml:space="preserve">base64 encode online</t>
  </si>
  <si>
    <t xml:space="preserve">Long-tail tool instance: Base64 Encoder / Decoder (+files). Pattern-inherited pain evidence from DV-B20 cluster; ships as part of the mega-toolbox catalog (&lt;=1 use/month tools included by directive).</t>
  </si>
  <si>
    <t xml:space="preserve">EC-C25</t>
  </si>
  <si>
    <t xml:space="preserve">Dext (receipt OCR incumbent) is "strictly pay-to-play" and overkill for tiny volumes: solo freelancers with...</t>
  </si>
  <si>
    <t xml:space="preserve">Dext (receipt OCR incumbent) is "strictly pay-to-play" and overkill for tiny volumes: solo freelancers with 5–10 receipts/mo won't pay $13–27/mo; bookkeepers pay $200/mo tiers; overage fees per document.</t>
  </si>
  <si>
    <t xml:space="preserve">EC-C16</t>
  </si>
  <si>
    <t xml:space="preserve">Meta (Facebook/Instagram) catalog feeds fail with "missing or invalid" fields for half the catalog; duplica...</t>
  </si>
  <si>
    <t xml:space="preserve">Meta (Facebook/Instagram) catalog feeds fail with "missing or invalid" fields for half the catalog; duplicate IDs, invalid categories, blocked URLs; debugging inside Meta's UI is notoriously buggy.</t>
  </si>
  <si>
    <t xml:space="preserve">GT-TXT-word-WG-G3</t>
  </si>
  <si>
    <t xml:space="preserve">Word / Character Counter + Density</t>
  </si>
  <si>
    <t xml:space="preserve">word counter</t>
  </si>
  <si>
    <t xml:space="preserve">Long-tail tool instance: Word / Character Counter + Density. Pattern-inherited pain evidence from WG-G3 cluster; ships as part of the mega-toolbox catalog (&lt;=1 use/month tools included by directive).</t>
  </si>
  <si>
    <t xml:space="preserve">GT-JSON-jsonpath-DV-B1</t>
  </si>
  <si>
    <t xml:space="preserve">JSONPath / JMESPath Query Tester</t>
  </si>
  <si>
    <t xml:space="preserve">jsonpath tester online</t>
  </si>
  <si>
    <t xml:space="preserve">Long-tail tool instance: JSONPath / JMESPath Query Tester. Pattern-inherited pain evidence from DV-B1 cluster; ships as part of the mega-toolbox catalog (&lt;=1 use/month tools included by directive).</t>
  </si>
  <si>
    <t xml:space="preserve">GT-CSV-delete-DR-A1</t>
  </si>
  <si>
    <t xml:space="preserve">CSV Column Remover / Reorderer</t>
  </si>
  <si>
    <t xml:space="preserve">delete columns csv online</t>
  </si>
  <si>
    <t xml:space="preserve">Long-tail tool instance: CSV Column Remover / Reorderer. Pattern-inherited pain evidence from DR-A1 cluster; ships as part of the mega-toolbox catalog (&lt;=1 use/month tools included by directive).</t>
  </si>
  <si>
    <t xml:space="preserve">GT-PDF-remove-DR-C4-2</t>
  </si>
  <si>
    <t xml:space="preserve">PDF Owner-Password Remover</t>
  </si>
  <si>
    <t xml:space="preserve">remove pdf password online</t>
  </si>
  <si>
    <t xml:space="preserve">Long-tail tool instance: PDF Owner-Password Remover. Pattern-inherited pain evidence from DR-C4 cluster; ships as part of the mega-toolbox catalog (&lt;=1 use/month tools included by directive).</t>
  </si>
  <si>
    <t xml:space="preserve">GT-TXT-text-WG-G3</t>
  </si>
  <si>
    <t xml:space="preserve">Text Diff Checker</t>
  </si>
  <si>
    <t xml:space="preserve">text diff online</t>
  </si>
  <si>
    <t xml:space="preserve">Long-tail tool instance: Text Diff Checker. Pattern-inherited pain evidence from WG-G3 cluster; ships as part of the mega-toolbox catalog (&lt;=1 use/month tools included by directive).</t>
  </si>
  <si>
    <t xml:space="preserve">DR-S4</t>
  </si>
  <si>
    <t xml:space="preserve">Subtitle freelancers must satisfy platform QC rules (CPS 15-25, line length 37/42 chars) and check manually...</t>
  </si>
  <si>
    <t xml:space="preserve">Subtitle freelancers must satisfy platform QC rules (CPS 15-25, line length 37/42 chars) and check manually per style guide.</t>
  </si>
  <si>
    <t xml:space="preserve">EC-C2</t>
  </si>
  <si>
    <t xml:space="preserve">Shopify CSV image import fails silently at scale: ~half of image URLs "fail media", Dropbox/Google Drive sh...</t>
  </si>
  <si>
    <t xml:space="preserve">Shopify CSV image import fails silently at scale: ~half of image URLs "fail media", Dropbox/Google Drive share links don't import, multiple URLs in one cell break, and re-imports duplicate every image with new filenames.</t>
  </si>
  <si>
    <t xml:space="preserve">EC-C24</t>
  </si>
  <si>
    <t xml:space="preserve">Monthly bookkeeping grind for micro-businesses: shoebox receipts, "lose their mind doing bookkeeping every ...</t>
  </si>
  <si>
    <t xml:space="preserve">Monthly bookkeeping grind for micro-businesses: shoebox receipts, "lose their mind doing bookkeeping every month", accountants receiving piles of paper receipts.</t>
  </si>
  <si>
    <t xml:space="preserve">JSON Minify / Beautify</t>
  </si>
  <si>
    <t xml:space="preserve">json minify online</t>
  </si>
  <si>
    <t xml:space="preserve">Long-tail tool instance: JSON Minify / Beautify. Pattern-inherited pain evidence from DV-B1 cluster; ships as part of the mega-toolbox catalog (&lt;=1 use/month tools included by directive).</t>
  </si>
  <si>
    <t xml:space="preserve">GT-JSON-json-DV-B14-2</t>
  </si>
  <si>
    <t xml:space="preserve">JSON Schema Instance Validator</t>
  </si>
  <si>
    <t xml:space="preserve">json schema validator online</t>
  </si>
  <si>
    <t xml:space="preserve">Long-tail tool instance: JSON Schema Instance Validator. Pattern-inherited pain evidence from DV-B14 cluster; ships as part of the mega-toolbox catalog (&lt;=1 use/month tools included by directive).</t>
  </si>
  <si>
    <t xml:space="preserve">GT-PDF-rearrange-DR-C1</t>
  </si>
  <si>
    <t xml:space="preserve">PDF Page Organizer (rotate/reorder/delete)</t>
  </si>
  <si>
    <t xml:space="preserve">rearrange pdf pages</t>
  </si>
  <si>
    <t xml:space="preserve">Long-tail tool instance: PDF Page Organizer (rotate/reorder/delete). Pattern-inherited pain evidence from DR-C1 cluster; ships as part of the mega-toolbox catalog (&lt;=1 use/month tools included by directive).</t>
  </si>
  <si>
    <t xml:space="preserve">GT-EDU-export-WG-G2</t>
  </si>
  <si>
    <t xml:space="preserve">Flashcard Converter (Quizlet to Anki/CSV)</t>
  </si>
  <si>
    <t xml:space="preserve">export quizlet to anki</t>
  </si>
  <si>
    <t xml:space="preserve">Long-tail tool instance: Flashcard Converter (Quizlet to Anki/CSV). Pattern-inherited pain evidence from WG-G2 cluster; ships as part of the mega-toolbox catalog (&lt;=1 use/month tools included by directive).</t>
  </si>
  <si>
    <t xml:space="preserve">GT-EDU-citation-WG-G3</t>
  </si>
  <si>
    <t xml:space="preserve">Citation Formatter (APA/MLA, no-signup)</t>
  </si>
  <si>
    <t xml:space="preserve">citation generator apa</t>
  </si>
  <si>
    <t xml:space="preserve">Long-tail tool instance: Citation Formatter (APA/MLA, no-signup). Pattern-inherited pain evidence from WG-G3 cluster; ships as part of the mega-toolbox catalog (&lt;=1 use/month tools included by directive).</t>
  </si>
  <si>
    <t xml:space="preserve">DV-B14</t>
  </si>
  <si>
    <t xml:space="preserve">JSON ↔ JSON Schema generation and schema→sample-data — validated recurring need with multiple free incumben...</t>
  </si>
  <si>
    <t xml:space="preserve">bundle candidate for the API-tools cluster; differentiation via better inference + OpenAPI round-trip.</t>
  </si>
  <si>
    <t xml:space="preserve">JSON ↔ JSON Schema generation and schema→sample-data — validated recurring need with multiple free incumbents competing on quality.</t>
  </si>
  <si>
    <t xml:space="preserve">EC-C11</t>
  </si>
  <si>
    <t xml:space="preserve">Etsy→Shopify migration silently loses variant pricing: Etsy CSV exports don't include variant prices, and S...</t>
  </si>
  <si>
    <t xml:space="preserve">Etsy→Shopify migration silently loses variant pricing: Etsy CSV exports don't include variant prices, and Shopify's own migration path "messes up variant pricing".</t>
  </si>
  <si>
    <t xml:space="preserve">EC-C12</t>
  </si>
  <si>
    <t xml:space="preserve">eBay bulk CSV (File Exchange/Seller Hub Reports) is finicky: misleading template labels (e.g., template col...</t>
  </si>
  <si>
    <t xml:space="preserve">eBay bulk CSV (File Exchange/Seller Hub Reports) is finicky: misleading template labels (e.g., template column mislabeled "Originating Postal Code"), silent errors, Bulk Listing Editor bugs requiring cut/paste workarounds.</t>
  </si>
  <si>
    <t xml:space="preserve">EC-C19</t>
  </si>
  <si>
    <t xml:space="preserve">Cross-border listing localization: naive machine translation of listings wastes months (wrong frame: needs ...</t>
  </si>
  <si>
    <t xml:space="preserve">Cross-border listing localization: naive machine translation of listings wastes months (wrong frame: needs units, sizes, tone, compliance); human translation unaffordable; sellers are unsure if auto-translation is "enough".</t>
  </si>
  <si>
    <t xml:space="preserve">EC-C30</t>
  </si>
  <si>
    <t xml:space="preserve">Quotes/estimates for trades &amp; service micro-biz: Jobber/Housecall Pro are priced for teams, not solo handym...</t>
  </si>
  <si>
    <t xml:space="preserve">Quotes/estimates for trades &amp; service micro-biz: Jobber/Housecall Pro are priced for teams, not solo handymen; sellers cobble quotes in Word/Canva; follow-up on unaccepted quotes is manual.</t>
  </si>
  <si>
    <t xml:space="preserve">WG-G2</t>
  </si>
  <si>
    <t xml:space="preserve">Flashcard data portability — getting sets OUT of Quizlet</t>
  </si>
  <si>
    <t xml:space="preserve">alternatives marketed on "import your existing Quizlet sets, so switching is easy" (https://kvistly.com/blog/best-quizlet-alternatives; https://studygenie.io/blog/quizlet-alternatives) — implies export friction is the switching barrier.</t>
  </si>
  <si>
    <t xml:space="preserve">GT-FIN-csv-DR-D1</t>
  </si>
  <si>
    <t xml:space="preserve">CSV to QBO / OFX (import prep)</t>
  </si>
  <si>
    <t xml:space="preserve">csv to qbo converter</t>
  </si>
  <si>
    <t xml:space="preserve">Long-tail tool instance: CSV to QBO / OFX (import prep). Pattern-inherited pain evidence from DR-D1 cluster; ships as part of the mega-toolbox catalog (&lt;=1 use/month tools included by directive).</t>
  </si>
  <si>
    <t xml:space="preserve">GT-MKT-supplier-EC-C1</t>
  </si>
  <si>
    <t xml:space="preserve">Supplier Price-List to Shopify Mapper</t>
  </si>
  <si>
    <t xml:space="preserve">supplier csv to shopify mapping</t>
  </si>
  <si>
    <t xml:space="preserve">Long-tail tool instance: Supplier Price-List to Shopify Mapper. Pattern-inherited pain evidence from EC-C1 cluster; ships as part of the mega-toolbox catalog (&lt;=1 use/month tools included by directive).</t>
  </si>
  <si>
    <t xml:space="preserve">GT-OPS-ecommerce-EC-C7</t>
  </si>
  <si>
    <t xml:space="preserve">Per-SKU Profit Margin Calculator</t>
  </si>
  <si>
    <t xml:space="preserve">ecommerce profit calculator</t>
  </si>
  <si>
    <t xml:space="preserve">Long-tail tool instance: Per-SKU Profit Margin Calculator. Pattern-inherited pain evidence from EC-C7 cluster; ships as part of the mega-toolbox catalog (&lt;=1 use/month tools included by directive).</t>
  </si>
  <si>
    <t xml:space="preserve">DR-A4</t>
  </si>
  <si>
    <t xml:space="preserve">CSVs with ragged/uneven rows (extra commas in unquoted fields, shifted columns) can't be loaded by pandas/R...</t>
  </si>
  <si>
    <t xml:space="preserve">CSVs with ragged/uneven rows (extra commas in unquoted fields, shifted columns) can't be loaded by pandas/R/ETL and are rebuilt by hand.</t>
  </si>
  <si>
    <t xml:space="preserve">EC-C31</t>
  </si>
  <si>
    <t xml:space="preserve">Spreadsheet-as-order/inventory-system ceiling: tiny sellers run entire ops on Excel/Google Sheets until it ...</t>
  </si>
  <si>
    <t xml:space="preserve">Spreadsheet-as-order/inventory-system ceiling: tiny sellers run entire ops on Excel/Google Sheets until it breaks (no multi-user, broken formulas, no audit trail) — they ask Reddit for "what do you actually use" rather than adopt paid suites.</t>
  </si>
  <si>
    <t xml:space="preserve">WG-G13</t>
  </si>
  <si>
    <t xml:space="preserve">Worksheet / rubric generation for teachers</t>
  </si>
  <si>
    <t xml:space="preserve">AI worksheet generators now blanket the space (EssayGrader free worksheet maker: https://www.essaygrader.ai; FormsWrite marketing "stop spending hours creating practice materials": https://formswrite.com); rubric time-saving content: "make free rubrics by usin</t>
  </si>
  <si>
    <t xml:space="preserve">DV-B17</t>
  </si>
  <si>
    <t xml:space="preserve">Online API testing tools' free tiers restrict request rate/payload/history — devs hit walls during debuggin...</t>
  </si>
  <si>
    <t xml:space="preserve">free-tier UX gaps = wedge; must engineer hard abuse caps on $0 infra.</t>
  </si>
  <si>
    <t xml:space="preserve">Online API testing tools' free tiers restrict request rate/payload/history — devs hit walls during debugging sessions.</t>
  </si>
  <si>
    <t xml:space="preserve">WG-G11</t>
  </si>
  <si>
    <t xml:space="preserve">Church announcement slides — rebuilt by hand every single week</t>
  </si>
  <si>
    <t xml:space="preserve">r/churchtech: "I started helping with the projection slides at our parish... honestly, it's way harder than it looks" (https://www.reddit.com/r/churchtech/comments/1qfu2fu/); small-church media FB groups discussing slide workflows (https://www.facebook.com/gro</t>
  </si>
  <si>
    <t xml:space="preserve">GT-SUB-fix-DR-S2</t>
  </si>
  <si>
    <t xml:space="preserve">Subtitle Encoding Fixer (mojibake)</t>
  </si>
  <si>
    <t xml:space="preserve">fix subtitle encoding</t>
  </si>
  <si>
    <t xml:space="preserve">Long-tail tool instance: Subtitle Encoding Fixer (mojibake). Pattern-inherited pain evidence from DR-S2 cluster; ships as part of the mega-toolbox catalog (&lt;=1 use/month tools included by directive).</t>
  </si>
  <si>
    <t xml:space="preserve">GT-FIN-receipt-DR-D2</t>
  </si>
  <si>
    <t xml:space="preserve">Receipt / Expense Line Extractor</t>
  </si>
  <si>
    <t xml:space="preserve">receipt to csv</t>
  </si>
  <si>
    <t xml:space="preserve">Long-tail tool instance: Receipt / Expense Line Extractor. Pattern-inherited pain evidence from DR-D2 cluster; ships as part of the mega-toolbox catalog (&lt;=1 use/month tools included by directive).</t>
  </si>
  <si>
    <t xml:space="preserve">GT-MKT-google-EC-C15</t>
  </si>
  <si>
    <t xml:space="preserve">Google Merchant Feed Fixer</t>
  </si>
  <si>
    <t xml:space="preserve">google merchant center disapproved</t>
  </si>
  <si>
    <t xml:space="preserve">Long-tail tool instance: Google Merchant Feed Fixer. Pattern-inherited pain evidence from EC-C15 cluster; ships as part of the mega-toolbox catalog (&lt;=1 use/month tools included by directive).</t>
  </si>
  <si>
    <t xml:space="preserve">GT-SQL-compare-DV-B10</t>
  </si>
  <si>
    <t xml:space="preserve">Schema Diff (two DDL files)</t>
  </si>
  <si>
    <t xml:space="preserve">compare database schemas online</t>
  </si>
  <si>
    <t xml:space="preserve">Long-tail tool instance: Schema Diff (two DDL files). Pattern-inherited pain evidence from DV-B10 cluster; ships as part of the mega-toolbox catalog (&lt;=1 use/month tools included by directive).</t>
  </si>
  <si>
    <t xml:space="preserve">GT-TXT-regex-DV-B9</t>
  </si>
  <si>
    <t xml:space="preserve">Regex Tester + Multi-language Export</t>
  </si>
  <si>
    <t xml:space="preserve">regex tester online</t>
  </si>
  <si>
    <t xml:space="preserve">Long-tail tool instance: Regex Tester + Multi-language Export. Pattern-inherited pain evidence from DV-B9 cluster; ships as part of the mega-toolbox catalog (&lt;=1 use/month tools included by directive).</t>
  </si>
  <si>
    <t xml:space="preserve">DR-S2</t>
  </si>
  <si>
    <t xml:space="preserve">Subtitle files show garbage characters (Ã©, boxes) due to encoding mismatch between file and player/device.</t>
  </si>
  <si>
    <t xml:space="preserve">DV-B12</t>
  </si>
  <si>
    <t xml:space="preserve">MCP (Model Context Protocol) developer tooling is immature — server authors lack testing/debugging utilitie...</t>
  </si>
  <si>
    <t xml:space="preserve">high upside + high uncertainty; watch-and-build-wedge candidate (MCP server config validator / session receipt generator).</t>
  </si>
  <si>
    <t xml:space="preserve">MCP (Model Context Protocol) developer tooling is immature — server authors lack testing/debugging utilities; one identified gap: durable proof/logging of what an agent session actually did.</t>
  </si>
  <si>
    <t xml:space="preserve">GT-PDF-jpg-DR-C1</t>
  </si>
  <si>
    <t xml:space="preserve">Images to PDF / PDF to Images</t>
  </si>
  <si>
    <t xml:space="preserve">jpg to pdf converter</t>
  </si>
  <si>
    <t xml:space="preserve">Long-tail tool instance: Images to PDF / PDF to Images. Pattern-inherited pain evidence from DR-C1 cluster; ships as part of the mega-toolbox catalog (&lt;=1 use/month tools included by directive).</t>
  </si>
  <si>
    <t xml:space="preserve">GT-SUB-subtitle-DR-S3</t>
  </si>
  <si>
    <t xml:space="preserve">Subtitle CPS / Line-Length QC Checker</t>
  </si>
  <si>
    <t xml:space="preserve">subtitle line length checker</t>
  </si>
  <si>
    <t xml:space="preserve">Long-tail tool instance: Subtitle CPS / Line-Length QC Checker. Pattern-inherited pain evidence from DR-S3 cluster; ships as part of the mega-toolbox catalog (&lt;=1 use/month tools included by directive).</t>
  </si>
  <si>
    <t xml:space="preserve">GT-API-free-DV-B7</t>
  </si>
  <si>
    <t xml:space="preserve">Ephemeral Request Bin (abuse-capped)</t>
  </si>
  <si>
    <t xml:space="preserve">free request bin</t>
  </si>
  <si>
    <t xml:space="preserve">Long-tail tool instance: Ephemeral Request Bin (abuse-capped). Pattern-inherited pain evidence from DV-B7 cluster; ships as part of the mega-toolbox catalog (&lt;=1 use/month tools included by directive).</t>
  </si>
  <si>
    <t xml:space="preserve">GT-API-http-DV-B4</t>
  </si>
  <si>
    <t xml:space="preserve">HTTP Status Code Explainer (pSEO)</t>
  </si>
  <si>
    <t xml:space="preserve">http 418 meaning</t>
  </si>
  <si>
    <t xml:space="preserve">Long-tail tool instance: HTTP Status Code Explainer (pSEO). Pattern-inherited pain evidence from DV-B4 cluster; ships as part of the mega-toolbox catalog (&lt;=1 use/month tools included by directive).</t>
  </si>
  <si>
    <t xml:space="preserve">GT-API-fake-DV-B17</t>
  </si>
  <si>
    <t xml:space="preserve">Static JSON Mock API Server</t>
  </si>
  <si>
    <t xml:space="preserve">fake rest api online</t>
  </si>
  <si>
    <t xml:space="preserve">Long-tail tool instance: Static JSON Mock API Server. Pattern-inherited pain evidence from DV-B17 cluster; ships as part of the mega-toolbox catalog (&lt;=1 use/month tools included by directive).</t>
  </si>
  <si>
    <t xml:space="preserve">GT-CFG-cron-DV-B11</t>
  </si>
  <si>
    <t xml:space="preserve">Cron Explainer (human-readable)</t>
  </si>
  <si>
    <t xml:space="preserve">cron expression meaning</t>
  </si>
  <si>
    <t xml:space="preserve">Long-tail tool instance: Cron Explainer (human-readable). Pattern-inherited pain evidence from DV-B11 cluster; ships as part of the mega-toolbox catalog (&lt;=1 use/month tools included by directive).</t>
  </si>
  <si>
    <t xml:space="preserve">GT-IMG-batch-EC-C10</t>
  </si>
  <si>
    <t xml:space="preserve">Batch Image Resizer</t>
  </si>
  <si>
    <t xml:space="preserve">batch resize images online</t>
  </si>
  <si>
    <t xml:space="preserve">Long-tail tool instance: Batch Image Resizer. Pattern-inherited pain evidence from EC-C10 cluster; ships as part of the mega-toolbox catalog (&lt;=1 use/month tools included by directive).</t>
  </si>
  <si>
    <t xml:space="preserve">GT-IMG-add-EC-C10</t>
  </si>
  <si>
    <t xml:space="preserve">Batch Watermark Adder</t>
  </si>
  <si>
    <t xml:space="preserve">add watermark to photos online</t>
  </si>
  <si>
    <t xml:space="preserve">Long-tail tool instance: Batch Watermark Adder. Pattern-inherited pain evidence from EC-C10 cluster; ships as part of the mega-toolbox catalog (&lt;=1 use/month tools included by directive).</t>
  </si>
  <si>
    <t xml:space="preserve">GT-TG-telegram-platform-2</t>
  </si>
  <si>
    <t xml:space="preserve">Telegram Bot: File-to-Tool Bridge</t>
  </si>
  <si>
    <t xml:space="preserve">telegram bot convert files</t>
  </si>
  <si>
    <t xml:space="preserve">Long-tail tool instance: Telegram Bot: File-to-Tool Bridge. Pattern-inherited pain evidence from platform cluster; ships as part of the mega-toolbox catalog (&lt;=1 use/month tools included by directive).</t>
  </si>
  <si>
    <t xml:space="preserve">EC-C14</t>
  </si>
  <si>
    <t xml:space="preserve">TikTok Shop bulk upload template is rigid ("Do not add or delete any rows or columns… will cause your uploa...</t>
  </si>
  <si>
    <t xml:space="preserve">TikTok Shop bulk upload template is rigid ("Do not add or delete any rows or columns… will cause your upload to fail" — official) and TikTok↔Shopify product sync is manual/error-prone.</t>
  </si>
  <si>
    <t xml:space="preserve">EC-C27</t>
  </si>
  <si>
    <t xml:space="preserve">QuickBooks Online hatred + pricing churn: "I hate QBO with every ounce of my being" (export/lock-in/price-h...</t>
  </si>
  <si>
    <t xml:space="preserve">QuickBooks Online hatred + pricing churn: "I hate QBO with every ounce of my being" (export/lock-in/price-hike complaints); sick-of-QB threads recur monthly; tiny businesses just need invoices+basic tracking, not $30+/mo suites.</t>
  </si>
  <si>
    <t xml:space="preserve">WG-G7</t>
  </si>
  <si>
    <t xml:space="preserve">AI code-slop review fatigue (dev teams)</t>
  </si>
  <si>
    <t xml:space="preserve">"AI Slop PR's are burning me and my team out hard" (https://www.reddit.com/r/ExperiencedDevs/comments/1kr8clp/); "The one AI code review tool I saw was shockingly good at approving AI-generated slop" (same thread).</t>
  </si>
  <si>
    <t xml:space="preserve">GT-MKT-etsy-EC-C3</t>
  </si>
  <si>
    <t xml:space="preserve">Etsy to Shopify Migration Fixer (variants)</t>
  </si>
  <si>
    <t xml:space="preserve">etsy to shopify migration</t>
  </si>
  <si>
    <t xml:space="preserve">Long-tail tool instance: Etsy to Shopify Migration Fixer (variants). Pattern-inherited pain evidence from EC-C3 cluster; ships as part of the mega-toolbox catalog (&lt;=1 use/month tools included by directive).</t>
  </si>
  <si>
    <t xml:space="preserve">GT-MKT-amazon-EC-C10</t>
  </si>
  <si>
    <t xml:space="preserve">Marketplace Image Requirements Resizer</t>
  </si>
  <si>
    <t xml:space="preserve">amazon image requirements resizer</t>
  </si>
  <si>
    <t xml:space="preserve">Long-tail tool instance: Marketplace Image Requirements Resizer. Pattern-inherited pain evidence from EC-C10 cluster; ships as part of the mega-toolbox catalog (&lt;=1 use/month tools included by directive).</t>
  </si>
  <si>
    <t xml:space="preserve">GT-OPS-compare-EC-C7</t>
  </si>
  <si>
    <t xml:space="preserve">Inventory Two-File Diff Checker</t>
  </si>
  <si>
    <t xml:space="preserve">compare inventory files</t>
  </si>
  <si>
    <t xml:space="preserve">Long-tail tool instance: Inventory Two-File Diff Checker. Pattern-inherited pain evidence from EC-C7 cluster; ships as part of the mega-toolbox catalog (&lt;=1 use/month tools included by directive).</t>
  </si>
  <si>
    <t xml:space="preserve">DV-B19</t>
  </si>
  <si>
    <t xml:space="preserve">YAML ↔ JSON ↔ TOML conversion for CI pipelines and configs — GitHub Actions/K8s YAML is the recurring offen...</t>
  </si>
  <si>
    <t xml:space="preserve">pairs with Docker/CI config validators; SEO long-tail.</t>
  </si>
  <si>
    <t xml:space="preserve">YAML ↔ JSON ↔ TOML conversion for CI pipelines and configs — GitHub Actions/K8s YAML is the recurring offender.</t>
  </si>
  <si>
    <t xml:space="preserve">GT-SUB-vtt-DR-S1</t>
  </si>
  <si>
    <t xml:space="preserve">VTT to SRT Converter</t>
  </si>
  <si>
    <t xml:space="preserve">vtt to srt converter</t>
  </si>
  <si>
    <t xml:space="preserve">Long-tail tool instance: VTT to SRT Converter. Pattern-inherited pain evidence from DR-S1 cluster; ships as part of the mega-toolbox catalog (&lt;=1 use/month tools included by directive).</t>
  </si>
  <si>
    <t xml:space="preserve">GT-OPS-generate-EC-C6</t>
  </si>
  <si>
    <t xml:space="preserve">Barcode / Label Sheet Generator (PDF)</t>
  </si>
  <si>
    <t xml:space="preserve">generate barcode labels pdf</t>
  </si>
  <si>
    <t xml:space="preserve">Long-tail tool instance: Barcode / Label Sheet Generator (PDF). Pattern-inherited pain evidence from EC-C6 cluster; ships as part of the mega-toolbox catalog (&lt;=1 use/month tools included by directive).</t>
  </si>
  <si>
    <t xml:space="preserve">GT-API-replay-DV-B7</t>
  </si>
  <si>
    <t xml:space="preserve">Webhook Replay Tool</t>
  </si>
  <si>
    <t xml:space="preserve">replay webhook requests</t>
  </si>
  <si>
    <t xml:space="preserve">Long-tail tool instance: Webhook Replay Tool. Pattern-inherited pain evidence from DV-B7 cluster; ships as part of the mega-toolbox catalog (&lt;=1 use/month tools included by directive).</t>
  </si>
  <si>
    <t xml:space="preserve">GT-SQL-postgresql-DV-B10</t>
  </si>
  <si>
    <t xml:space="preserve">PostgreSQL to MySQL Converter</t>
  </si>
  <si>
    <t xml:space="preserve">postgresql to mysql converter</t>
  </si>
  <si>
    <t xml:space="preserve">Long-tail tool instance: PostgreSQL to MySQL Converter. Pattern-inherited pain evidence from DV-B10 cluster; ships as part of the mega-toolbox catalog (&lt;=1 use/month tools included by directive).</t>
  </si>
  <si>
    <t xml:space="preserve">GT-CFG-cron-DV-B11-2</t>
  </si>
  <si>
    <t xml:space="preserve">Timezone-aware Cron Preview (next runs)</t>
  </si>
  <si>
    <t xml:space="preserve">cron next run time preview</t>
  </si>
  <si>
    <t xml:space="preserve">Long-tail tool instance: Timezone-aware Cron Preview (next runs). Pattern-inherited pain evidence from DV-B11 cluster; ships as part of the mega-toolbox catalog (&lt;=1 use/month tools included by directive).</t>
  </si>
  <si>
    <t xml:space="preserve">GT-CFG-docker-DV-B19</t>
  </si>
  <si>
    <t xml:space="preserve">Docker Compose Validator / Linter</t>
  </si>
  <si>
    <t xml:space="preserve">docker compose validator online</t>
  </si>
  <si>
    <t xml:space="preserve">Long-tail tool instance: Docker Compose Validator / Linter. Pattern-inherited pain evidence from DV-B19 cluster; ships as part of the mega-toolbox catalog (&lt;=1 use/month tools included by directive).</t>
  </si>
  <si>
    <t xml:space="preserve">GT-TXT-markdown-WG-G3</t>
  </si>
  <si>
    <t xml:space="preserve">Markdown to HTML / Live Preview</t>
  </si>
  <si>
    <t xml:space="preserve">markdown to html</t>
  </si>
  <si>
    <t xml:space="preserve">Long-tail tool instance: Markdown to HTML / Live Preview. Pattern-inherited pain evidence from WG-G3 cluster; ships as part of the mega-toolbox catalog (&lt;=1 use/month tools included by directive).</t>
  </si>
  <si>
    <t xml:space="preserve">GT-SEC-strong-DV-B20</t>
  </si>
  <si>
    <t xml:space="preserve">Password Generator (offline, strength)</t>
  </si>
  <si>
    <t xml:space="preserve">strong password generator</t>
  </si>
  <si>
    <t xml:space="preserve">Long-tail tool instance: Password Generator (offline, strength). Pattern-inherited pain evidence from DV-B20 cluster; ships as part of the mega-toolbox catalog (&lt;=1 use/month tools included by directive).</t>
  </si>
  <si>
    <t xml:space="preserve">GT-SEC-remove-DV-B20</t>
  </si>
  <si>
    <t xml:space="preserve">EXIF Scrubber (privacy)</t>
  </si>
  <si>
    <t xml:space="preserve">remove exif data online</t>
  </si>
  <si>
    <t xml:space="preserve">Long-tail tool instance: EXIF Scrubber (privacy). Pattern-inherited pain evidence from DV-B20 cluster; ships as part of the mega-toolbox catalog (&lt;=1 use/month tools included by directive).</t>
  </si>
  <si>
    <t xml:space="preserve">EC-C13</t>
  </si>
  <si>
    <t xml:space="preserve">Walmart Marketplace feed submissions are error-ridden and opaque: image links accepted one day, rejected th...</t>
  </si>
  <si>
    <t xml:space="preserve">Walmart Marketplace feed submissions are error-ridden and opaque: image links accepted one day, rejected the next; "missing attribute metadata" template errors; COMP errors unresolved for weeks.</t>
  </si>
  <si>
    <t xml:space="preserve">DV-B11</t>
  </si>
  <si>
    <t xml:space="preserve">Cron syntax is not human-readable — every "every 15 minutes" question spawns generator sites; devs still gu...</t>
  </si>
  <si>
    <t xml:space="preserve">zero-cost build, good ecosystem glue (feeds scheduler products), weak standalone revenue.</t>
  </si>
  <si>
    <t xml:space="preserve">Cron syntax is not human-readable — every "every 15 minutes" question spawns generator sites; devs still guess.</t>
  </si>
  <si>
    <t xml:space="preserve">WG-G18</t>
  </si>
  <si>
    <t xml:space="preserve">Bangla typing / Unicode on the web</t>
  </si>
  <si>
    <t xml:space="preserve">Avro Keyboard is the de-facto standard but is Windows-desktop (https://www.omicronlab.com/avro-keyboard.html; https://en.wikipedia.org/wiki/Avro_Keyboard); users hit broken-Unicode problems (Avro's own FB troubleshooting posts: https://www.facebook.com/avrokey</t>
  </si>
  <si>
    <t xml:space="preserve">WG-G21</t>
  </si>
  <si>
    <t xml:space="preserve">Free review widgets for small-business sites (embed-distribution wedge)</t>
  </si>
  <si>
    <t xml:space="preserve">r/divi: "Does anyone have recommendations for a free google review widget?" (https://www.reddit.com/r/divi/comments/1dcy87b/); free offerings compete on "100% free... 2 minutes, no coding" (https://www.review-widget.net; https://www.sociablekit.com/tutorials/e</t>
  </si>
  <si>
    <t xml:space="preserve">GT-FIN-merge-DR-D1</t>
  </si>
  <si>
    <t xml:space="preserve">Multi-Bank Statement Merger &amp; Deduper</t>
  </si>
  <si>
    <t xml:space="preserve">merge bank statements</t>
  </si>
  <si>
    <t xml:space="preserve">Long-tail tool instance: Multi-Bank Statement Merger &amp; Deduper. Pattern-inherited pain evidence from DR-D1 cluster; ships as part of the mega-toolbox catalog (&lt;=1 use/month tools included by directive).</t>
  </si>
  <si>
    <t xml:space="preserve">GT-OPS-mushak-EC-C27</t>
  </si>
  <si>
    <t xml:space="preserve">VAT / Mushak 6.3 Invoice Generator (BD)</t>
  </si>
  <si>
    <t xml:space="preserve">mushak 6.3 format online</t>
  </si>
  <si>
    <t xml:space="preserve">Long-tail tool instance: VAT / Mushak 6.3 Invoice Generator (BD). Pattern-inherited pain evidence from EC-C27 cluster; ships as part of the mega-toolbox catalog (&lt;=1 use/month tools included by directive).</t>
  </si>
  <si>
    <t xml:space="preserve">GT-IMG-png-EC-C10</t>
  </si>
  <si>
    <t xml:space="preserve">Image Format Converter (WebP/AVIF/PNG)</t>
  </si>
  <si>
    <t xml:space="preserve">png to webp converter</t>
  </si>
  <si>
    <t xml:space="preserve">Long-tail tool instance: Image Format Converter (WebP/AVIF/PNG). Pattern-inherited pain evidence from EC-C10 cluster; ships as part of the mega-toolbox catalog (&lt;=1 use/month tools included by directive).</t>
  </si>
  <si>
    <t xml:space="preserve">DV-B20</t>
  </si>
  <si>
    <t xml:space="preserve">JSON escaping/debugging (string escape/unescape, embedded JSON in JSON, base64-encoded JSON payloads) — fre...</t>
  </si>
  <si>
    <t xml:space="preserve">micro-wedge inside the JSON Doctor bundle. ---</t>
  </si>
  <si>
    <t xml:space="preserve">JSON escaping/debugging (string escape/unescape, embedded JSON in JSON, base64-encoded JSON payloads) — frequent source of "invalid string" errors.</t>
  </si>
  <si>
    <t xml:space="preserve">WG-G8</t>
  </si>
  <si>
    <t xml:space="preserve">ChatGPT conversation export / backup mess</t>
  </si>
  <si>
    <t xml:space="preserve">r/ChatGPTPro megathread on the many hacky export paths ("exports JSON and HTML files via email download") (https://www.reddit.com/r/ChatGPTPro/comments/1pe3rhn/); OpenAI community thread asking for full-thread export (https://community.openai.com/t/is-there-a-</t>
  </si>
  <si>
    <t xml:space="preserve">GT-SUB-remove-DR-S4</t>
  </si>
  <si>
    <t xml:space="preserve">Duplicate Subtitle Remover (VTT/SRT)</t>
  </si>
  <si>
    <t xml:space="preserve">remove duplicate subtitles</t>
  </si>
  <si>
    <t xml:space="preserve">Long-tail tool instance: Duplicate Subtitle Remover (VTT/SRT). Pattern-inherited pain evidence from DR-S4 cluster; ships as part of the mega-toolbox catalog (&lt;=1 use/month tools included by directive).</t>
  </si>
  <si>
    <t xml:space="preserve">GT-API-parse-DV-B4</t>
  </si>
  <si>
    <t xml:space="preserve">HTTP Header Parser / Beautifier</t>
  </si>
  <si>
    <t xml:space="preserve">parse http headers online</t>
  </si>
  <si>
    <t xml:space="preserve">Long-tail tool instance: HTTP Header Parser / Beautifier. Pattern-inherited pain evidence from DV-B4 cluster; ships as part of the mega-toolbox catalog (&lt;=1 use/month tools included by directive).</t>
  </si>
  <si>
    <t xml:space="preserve">GT-EDU-ai-WG-G7</t>
  </si>
  <si>
    <t xml:space="preserve">AI Code Review Linter (pre-PR check)</t>
  </si>
  <si>
    <t xml:space="preserve">ai code review checklist</t>
  </si>
  <si>
    <t xml:space="preserve">Long-tail tool instance: AI Code Review Linter (pre-PR check). Pattern-inherited pain evidence from WG-G7 cluster; ships as part of the mega-toolbox catalog (&lt;=1 use/month tools included by directive).</t>
  </si>
  <si>
    <t xml:space="preserve">DV-B9</t>
  </si>
  <si>
    <t xml:space="preserve">Regular expressions are widely feared/misunderstood — writing, reading, and explaining regex is a persisten...</t>
  </si>
  <si>
    <t xml:space="preserve">monetization weak (regex101 free for a decade) — bundle play only.</t>
  </si>
  <si>
    <t xml:space="preserve">Regular expressions are widely feared/misunderstood — writing, reading, and explaining regex is a persistent pain point.</t>
  </si>
  <si>
    <t xml:space="preserve">WG-G14</t>
  </si>
  <si>
    <t xml:space="preserve">Seating charts / random group makers</t>
  </si>
  <si>
    <t xml:space="preserve">demand visible via competition + teacher asks: "Does anyone know of an AI tool for creating seating plans" (FB group, Dec 2024: https://www.facebook.com/groups/149348298190053/posts/389197830871764); "Trusted by 2000+ teachers" on a freemium tool (https://seat</t>
  </si>
  <si>
    <t xml:space="preserve">GT-PDF-remove-DR-C4</t>
  </si>
  <si>
    <t xml:space="preserve">PDF Metadata Scrubber (privacy)</t>
  </si>
  <si>
    <t xml:space="preserve">remove pdf metadata</t>
  </si>
  <si>
    <t xml:space="preserve">Long-tail tool instance: PDF Metadata Scrubber (privacy). Pattern-inherited pain evidence from DR-C4 cluster; ships as part of the mega-toolbox catalog (&lt;=1 use/month tools included by directive).</t>
  </si>
  <si>
    <t xml:space="preserve">GT-API-test-DV-B7</t>
  </si>
  <si>
    <t xml:space="preserve">Webhook Signature Tester (HMAC)</t>
  </si>
  <si>
    <t xml:space="preserve">test webhook signature</t>
  </si>
  <si>
    <t xml:space="preserve">Long-tail tool instance: Webhook Signature Tester (HMAC). Pattern-inherited pain evidence from DV-B7 cluster; ships as part of the mega-toolbox catalog (&lt;=1 use/month tools included by directive).</t>
  </si>
  <si>
    <t xml:space="preserve">GT-SEC-url-DV-B20</t>
  </si>
  <si>
    <t xml:space="preserve">URL Encoder / Decoder</t>
  </si>
  <si>
    <t xml:space="preserve">url encode online</t>
  </si>
  <si>
    <t xml:space="preserve">Long-tail tool instance: URL Encoder / Decoder. Pattern-inherited pain evidence from DV-B20 cluster; ships as part of the mega-toolbox catalog (&lt;=1 use/month tools included by directive).</t>
  </si>
  <si>
    <t xml:space="preserve">GT-JSON-split-DV-B2</t>
  </si>
  <si>
    <t xml:space="preserve">NDJSON / JSONL Stream Splitter</t>
  </si>
  <si>
    <t xml:space="preserve">split jsonl files</t>
  </si>
  <si>
    <t xml:space="preserve">Long-tail tool instance: NDJSON / JSONL Stream Splitter. Pattern-inherited pain evidence from DV-B2 cluster; ships as part of the mega-toolbox catalog (&lt;=1 use/month tools included by directive).</t>
  </si>
  <si>
    <t xml:space="preserve">GT-MKT-tiktok-EC-C9</t>
  </si>
  <si>
    <t xml:space="preserve">TikTok Shop Upload Fixer</t>
  </si>
  <si>
    <t xml:space="preserve">tiktok shop upload error</t>
  </si>
  <si>
    <t xml:space="preserve">Long-tail tool instance: TikTok Shop Upload Fixer. Pattern-inherited pain evidence from EC-C9 cluster; ships as part of the mega-toolbox catalog (&lt;=1 use/month tools included by directive).</t>
  </si>
  <si>
    <t xml:space="preserve">GT-CFG-convert-DV-B18</t>
  </si>
  <si>
    <t xml:space="preserve">.env to JSON / Docker env_file</t>
  </si>
  <si>
    <t xml:space="preserve">convert env to json</t>
  </si>
  <si>
    <t xml:space="preserve">Long-tail tool instance: .env to JSON / Docker env_file. Pattern-inherited pain evidence from DV-B18 cluster; ships as part of the mega-toolbox catalog (&lt;=1 use/month tools included by directive).</t>
  </si>
  <si>
    <t xml:space="preserve">GT-SEC-sha256-DV-B20</t>
  </si>
  <si>
    <t xml:space="preserve">Hash Generator (MD5/SHA family)</t>
  </si>
  <si>
    <t xml:space="preserve">sha256 hash generator</t>
  </si>
  <si>
    <t xml:space="preserve">Long-tail tool instance: Hash Generator (MD5/SHA family). Pattern-inherited pain evidence from DV-B20 cluster; ships as part of the mega-toolbox catalog (&lt;=1 use/month tools included by directive).</t>
  </si>
  <si>
    <t xml:space="preserve">GT-TG-telegram-TG</t>
  </si>
  <si>
    <t xml:space="preserve">Telegram Post Formatter (unicode bold)</t>
  </si>
  <si>
    <t xml:space="preserve">telegram bold text generator</t>
  </si>
  <si>
    <t xml:space="preserve">Long-tail tool instance: Telegram Post Formatter (unicode bold). Pattern-inherited pain evidence from TG cluster; ships as part of the mega-toolbox catalog (&lt;=1 use/month tools included by directive).</t>
  </si>
  <si>
    <t xml:space="preserve">DV-B18</t>
  </si>
  <si>
    <t xml:space="preserve">.env/config conversion for serverless deploys (env→JSON, dotenv→Docker env_file, cross-format) — devs hand-...</t>
  </si>
  <si>
    <t xml:space="preserve">candidate row — validate before committing build slot.</t>
  </si>
  <si>
    <t xml:space="preserve">.env/config conversion for serverless deploys (env→JSON, dotenv→Docker env_file, cross-format) — devs hand-mangle variables between platforms.</t>
  </si>
  <si>
    <t xml:space="preserve">GT-OPS-amount-EC-C27</t>
  </si>
  <si>
    <t xml:space="preserve">Taka Amount-in-Words (Bangla)</t>
  </si>
  <si>
    <t xml:space="preserve">amount in words taka bangla</t>
  </si>
  <si>
    <t xml:space="preserve">Long-tail tool instance: Taka Amount-in-Words (Bangla). Pattern-inherited pain evidence from EC-C27 cluster; ships as part of the mega-toolbox catalog (&lt;=1 use/month tools included by directive).</t>
  </si>
  <si>
    <t xml:space="preserve">GT-WG-clean-WG-G8</t>
  </si>
  <si>
    <t xml:space="preserve">ChatGPT Export Cleaner</t>
  </si>
  <si>
    <t xml:space="preserve">clean chatgpt export</t>
  </si>
  <si>
    <t xml:space="preserve">Long-tail tool instance: ChatGPT Export Cleaner. Pattern-inherited pain evidence from WG-G8 cluster; ships as part of the mega-toolbox catalog (&lt;=1 use/month tools included by directive).</t>
  </si>
  <si>
    <t xml:space="preserve">GT-WG-fix-WG-G25</t>
  </si>
  <si>
    <t xml:space="preserve">Vibe-coder Code Error Fixer (AI)</t>
  </si>
  <si>
    <t xml:space="preserve">fix my code error online</t>
  </si>
  <si>
    <t xml:space="preserve">Long-tail tool instance: Vibe-coder Code Error Fixer (AI). Pattern-inherited pain evidence from WG-G25 cluster; ships as part of the mega-toolbox catalog (&lt;=1 use/month tools included by directive).</t>
  </si>
  <si>
    <t xml:space="preserve">WG-G3</t>
  </si>
  <si>
    <t xml:space="preserve">Citation formatting pain (students)</t>
  </si>
  <si>
    <t xml:space="preserve">Scribbr/EasyBib/MyBib compete on free formatting; teacher FB groups share "100% free, no registration" (https://www.facebook.com/groups/418098809407362/posts/809523470264892); librarian recommends MyBib for "FREE, no advertising sidebar, pop-up absent" (https:</t>
  </si>
  <si>
    <t xml:space="preserve">GT-CSV-tsv-DR-A1</t>
  </si>
  <si>
    <t xml:space="preserve">TSV / PSV / CSV Cross-Converter</t>
  </si>
  <si>
    <t xml:space="preserve">tsv to csv converter</t>
  </si>
  <si>
    <t xml:space="preserve">Long-tail tool instance: TSV / PSV / CSV Cross-Converter. Pattern-inherited pain evidence from DR-A1 cluster; ships as part of the mega-toolbox catalog (&lt;=1 use/month tools included by directive).</t>
  </si>
  <si>
    <t xml:space="preserve">GT-MKT-ebay-EC-C9</t>
  </si>
  <si>
    <t xml:space="preserve">eBay CSV Template Validator</t>
  </si>
  <si>
    <t xml:space="preserve">ebay file exchange errors</t>
  </si>
  <si>
    <t xml:space="preserve">Long-tail tool instance: eBay CSV Template Validator. Pattern-inherited pain evidence from EC-C9 cluster; ships as part of the mega-toolbox catalog (&lt;=1 use/month tools included by directive).</t>
  </si>
  <si>
    <t xml:space="preserve">GT-OPS-dedupe-EC-C7</t>
  </si>
  <si>
    <t xml:space="preserve">Order Deduper across Channels</t>
  </si>
  <si>
    <t xml:space="preserve">dedupe orders shopify whatsapp</t>
  </si>
  <si>
    <t xml:space="preserve">Long-tail tool instance: Order Deduper across Channels. Pattern-inherited pain evidence from EC-C7 cluster; ships as part of the mega-toolbox catalog (&lt;=1 use/month tools included by directive).</t>
  </si>
  <si>
    <t xml:space="preserve">GT-OPS-bkash-EC-C28</t>
  </si>
  <si>
    <t xml:space="preserve">bKash / Nagad Fee Calculator</t>
  </si>
  <si>
    <t xml:space="preserve">bkash send money fee calculator</t>
  </si>
  <si>
    <t xml:space="preserve">Long-tail tool instance: bKash / Nagad Fee Calculator. Pattern-inherited pain evidence from EC-C28 cluster; ships as part of the mega-toolbox catalog (&lt;=1 use/month tools included by directive).</t>
  </si>
  <si>
    <t xml:space="preserve">GT-WG-bijoy-WG-G23</t>
  </si>
  <si>
    <t xml:space="preserve">Bijoy to Unicode Converter</t>
  </si>
  <si>
    <t xml:space="preserve">bijoy to unicode converter</t>
  </si>
  <si>
    <t xml:space="preserve">Long-tail tool instance: Bijoy to Unicode Converter. Pattern-inherited pain evidence from WG-G23 cluster; ships as part of the mega-toolbox catalog (&lt;=1 use/month tools included by directive).</t>
  </si>
  <si>
    <t xml:space="preserve">GT-FIN-mt940-DR-D1</t>
  </si>
  <si>
    <t xml:space="preserve">MT940 / SWIFT to CSV</t>
  </si>
  <si>
    <t xml:space="preserve">mt940 to csv</t>
  </si>
  <si>
    <t xml:space="preserve">Long-tail tool instance: MT940 / SWIFT to CSV. Pattern-inherited pain evidence from DR-D1 cluster; ships as part of the mega-toolbox catalog (&lt;=1 use/month tools included by directive).</t>
  </si>
  <si>
    <t xml:space="preserve">GT-API-mcp-DV-B12</t>
  </si>
  <si>
    <t xml:space="preserve">MCP Server Config Validator</t>
  </si>
  <si>
    <t xml:space="preserve">mcp server config validator</t>
  </si>
  <si>
    <t xml:space="preserve">Long-tail tool instance: MCP Server Config Validator. Pattern-inherited pain evidence from DV-B12 cluster; ships as part of the mega-toolbox catalog (&lt;=1 use/month tools included by directive).</t>
  </si>
  <si>
    <t xml:space="preserve">GT-EDU-free-WG-G1</t>
  </si>
  <si>
    <t xml:space="preserve">Spaced-Repetition Flashcard Mini App</t>
  </si>
  <si>
    <t xml:space="preserve">free flashcard app</t>
  </si>
  <si>
    <t xml:space="preserve">Long-tail tool instance: Spaced-Repetition Flashcard Mini App. Pattern-inherited pain evidence from WG-G1 cluster; ships as part of the mega-toolbox catalog (&lt;=1 use/month tools included by directive).</t>
  </si>
  <si>
    <t xml:space="preserve">GT-WG-ramadan-WG-G22</t>
  </si>
  <si>
    <t xml:space="preserve">Prayer-time / Ramadan Schedule Images</t>
  </si>
  <si>
    <t xml:space="preserve">ramadan schedule generator</t>
  </si>
  <si>
    <t xml:space="preserve">Long-tail tool instance: Prayer-time / Ramadan Schedule Images. Pattern-inherited pain evidence from WG-G22 cluster; ships as part of the mega-toolbox catalog (&lt;=1 use/month tools included by directive).</t>
  </si>
  <si>
    <t xml:space="preserve">GT-OPS-english-EC-C27</t>
  </si>
  <si>
    <t xml:space="preserve">English to Bangla Date Converter</t>
  </si>
  <si>
    <t xml:space="preserve">english to bangla date converter</t>
  </si>
  <si>
    <t xml:space="preserve">Long-tail tool instance: English to Bangla Date Converter. Pattern-inherited pain evidence from EC-C27 cluster; ships as part of the mega-toolbox catalog (&lt;=1 use/month tools included by directive).</t>
  </si>
  <si>
    <t xml:space="preserve">GT-CFG-nginx-DV-B19</t>
  </si>
  <si>
    <t xml:space="preserve">Nginx / Apache Config Tester-Generator</t>
  </si>
  <si>
    <t xml:space="preserve">nginx config generator</t>
  </si>
  <si>
    <t xml:space="preserve">Long-tail tool instance: Nginx / Apache Config Tester-Generator. Pattern-inherited pain evidence from DV-B19 cluster; ships as part of the mega-toolbox catalog (&lt;=1 use/month tools included by directive).</t>
  </si>
  <si>
    <t xml:space="preserve">GT-TXT-case-WG-G3</t>
  </si>
  <si>
    <t xml:space="preserve">Case Converter (sentence/title/camel)</t>
  </si>
  <si>
    <t xml:space="preserve">case converter</t>
  </si>
  <si>
    <t xml:space="preserve">Long-tail tool instance: Case Converter (sentence/title/camel). Pattern-inherited pain evidence from WG-G3 cluster; ships as part of the mega-toolbox catalog (&lt;=1 use/month tools included by directive).</t>
  </si>
  <si>
    <t xml:space="preserve">GT-TXT-find-WG-G3</t>
  </si>
  <si>
    <t xml:space="preserve">Batch Find &amp; Replace (files)</t>
  </si>
  <si>
    <t xml:space="preserve">find and replace text online</t>
  </si>
  <si>
    <t xml:space="preserve">Long-tail tool instance: Batch Find &amp; Replace (files). Pattern-inherited pain evidence from WG-G3 cluster; ships as part of the mega-toolbox catalog (&lt;=1 use/month tools included by directive).</t>
  </si>
  <si>
    <t xml:space="preserve">GT-SEC-hmac-SEC</t>
  </si>
  <si>
    <t xml:space="preserve">HMAC Signature Generator / Tester</t>
  </si>
  <si>
    <t xml:space="preserve">hmac generator online</t>
  </si>
  <si>
    <t xml:space="preserve">Long-tail tool instance: HMAC Signature Generator / Tester. Pattern-inherited pain evidence from SEC cluster; ships as part of the mega-toolbox catalog (&lt;=1 use/month tools included by directive).</t>
  </si>
  <si>
    <t xml:space="preserve">GT-EDU-make-WG-G1</t>
  </si>
  <si>
    <t xml:space="preserve">Quiz Generator from Notes (AI)</t>
  </si>
  <si>
    <t xml:space="preserve">make quiz from my notes</t>
  </si>
  <si>
    <t xml:space="preserve">Long-tail tool instance: Quiz Generator from Notes (AI). Pattern-inherited pain evidence from WG-G1 cluster; ships as part of the mega-toolbox catalog (&lt;=1 use/month tools included by directive).</t>
  </si>
  <si>
    <t xml:space="preserve">GT-MKT-meta-EC-C15</t>
  </si>
  <si>
    <t xml:space="preserve">Meta Catalog Validator</t>
  </si>
  <si>
    <t xml:space="preserve">meta catalog upload error</t>
  </si>
  <si>
    <t xml:space="preserve">Long-tail tool instance: Meta Catalog Validator. Pattern-inherited pain evidence from EC-C15 cluster; ships as part of the mega-toolbox catalog (&lt;=1 use/month tools included by directive).</t>
  </si>
  <si>
    <t xml:space="preserve">GT-SQL-explain-DV-B10</t>
  </si>
  <si>
    <t xml:space="preserve">SQL Query Explainer (AI)</t>
  </si>
  <si>
    <t xml:space="preserve">explain sql query online</t>
  </si>
  <si>
    <t xml:space="preserve">Long-tail tool instance: SQL Query Explainer (AI). Pattern-inherited pain evidence from DV-B10 cluster; ships as part of the mega-toolbox catalog (&lt;=1 use/month tools included by directive).</t>
  </si>
  <si>
    <t xml:space="preserve">GT-SEC-jwt-DV-B13</t>
  </si>
  <si>
    <t xml:space="preserve">JWT Decoder (ecosystem glue)</t>
  </si>
  <si>
    <t xml:space="preserve">jwt decoder online</t>
  </si>
  <si>
    <t xml:space="preserve">Long-tail tool instance: JWT Decoder (ecosystem glue). Pattern-inherited pain evidence from DV-B13 cluster; ships as part of the mega-toolbox catalog (&lt;=1 use/month tools included by directive).</t>
  </si>
  <si>
    <t xml:space="preserve">GT-EDU-bd-WG-G3</t>
  </si>
  <si>
    <t xml:space="preserve">GPA / CGPA Calculator (BD scales)</t>
  </si>
  <si>
    <t xml:space="preserve">bd university gpa calculator</t>
  </si>
  <si>
    <t xml:space="preserve">Long-tail tool instance: GPA / CGPA Calculator (BD scales). Pattern-inherited pain evidence from WG-G3 cluster; ships as part of the mega-toolbox catalog (&lt;=1 use/month tools included by directive).</t>
  </si>
  <si>
    <t xml:space="preserve">GT-MKT-walmart-EC-C9</t>
  </si>
  <si>
    <t xml:space="preserve">Walmart Feed Validator</t>
  </si>
  <si>
    <t xml:space="preserve">walmart feed errors</t>
  </si>
  <si>
    <t xml:space="preserve">Long-tail tool instance: Walmart Feed Validator. Pattern-inherited pain evidence from EC-C9 cluster; ships as part of the mega-toolbox catalog (&lt;=1 use/month tools included by directive).</t>
  </si>
  <si>
    <t xml:space="preserve">GT-API-user-DV-B4</t>
  </si>
  <si>
    <t xml:space="preserve">User-Agent String Parser</t>
  </si>
  <si>
    <t xml:space="preserve">user agent parser online</t>
  </si>
  <si>
    <t xml:space="preserve">Long-tail tool instance: User-Agent String Parser. Pattern-inherited pain evidence from DV-B4 cluster; ships as part of the mega-toolbox catalog (&lt;=1 use/month tools included by directive).</t>
  </si>
  <si>
    <t xml:space="preserve">GT-SQL-sql-DV-B10-2</t>
  </si>
  <si>
    <t xml:space="preserve">SQL to ORM Model (Prisma/SQLAlchemy)</t>
  </si>
  <si>
    <t xml:space="preserve">sql to prisma schema</t>
  </si>
  <si>
    <t xml:space="preserve">Long-tail tool instance: SQL to ORM Model (Prisma/SQLAlchemy). Pattern-inherited pain evidence from DV-B10 cluster; ships as part of the mega-toolbox catalog (&lt;=1 use/month tools included by directive).</t>
  </si>
  <si>
    <t xml:space="preserve">GT-IMG-favicon-EC-C10</t>
  </si>
  <si>
    <t xml:space="preserve">Favicon Generator (all sizes zip)</t>
  </si>
  <si>
    <t xml:space="preserve">favicon generator</t>
  </si>
  <si>
    <t xml:space="preserve">Long-tail tool instance: Favicon Generator (all sizes zip). Pattern-inherited pain evidence from EC-C10 cluster; ships as part of the mega-toolbox catalog (&lt;=1 use/month tools included by directive).</t>
  </si>
  <si>
    <t xml:space="preserve">GT-EDU-study-WG-G1</t>
  </si>
  <si>
    <t xml:space="preserve">Assignment Deadline / Study Planner</t>
  </si>
  <si>
    <t xml:space="preserve">study planner online free</t>
  </si>
  <si>
    <t xml:space="preserve">Long-tail tool instance: Assignment Deadline / Study Planner. Pattern-inherited pain evidence from WG-G1 cluster; ships as part of the mega-toolbox catalog (&lt;=1 use/month tools included by directive).</t>
  </si>
  <si>
    <t xml:space="preserve">GT-WG-ai-WG-G6</t>
  </si>
  <si>
    <t xml:space="preserve">AI-slop Text Linter</t>
  </si>
  <si>
    <t xml:space="preserve">ai slop checker</t>
  </si>
  <si>
    <t xml:space="preserve">Long-tail tool instance: AI-slop Text Linter. Pattern-inherited pain evidence from WG-G6 cluster; ships as part of the mega-toolbox catalog (&lt;=1 use/month tools included by directive).</t>
  </si>
  <si>
    <t xml:space="preserve">GT-EDU-seating-WG-G14</t>
  </si>
  <si>
    <t xml:space="preserve">Seating Chart / Random Group Maker</t>
  </si>
  <si>
    <t xml:space="preserve">seating chart maker free</t>
  </si>
  <si>
    <t xml:space="preserve">Long-tail tool instance: Seating Chart / Random Group Maker. Pattern-inherited pain evidence from WG-G14 cluster; ships as part of the mega-toolbox catalog (&lt;=1 use/month tools included by directive).</t>
  </si>
  <si>
    <t xml:space="preserve">GT-WG-church-WG-G11</t>
  </si>
  <si>
    <t xml:space="preserve">Event Announcement Slide Generator</t>
  </si>
  <si>
    <t xml:space="preserve">church announcement slides</t>
  </si>
  <si>
    <t xml:space="preserve">Long-tail tool instance: Event Announcement Slide Generator. Pattern-inherited pain evidence from WG-G11 cluster; ships as part of the mega-toolbox catalog (&lt;=1 use/month tools included by directive).</t>
  </si>
  <si>
    <t xml:space="preserve">GT-IMG-extract-EC-C10</t>
  </si>
  <si>
    <t xml:space="preserve">Color Palette Extractor from Image</t>
  </si>
  <si>
    <t xml:space="preserve">extract colors from image</t>
  </si>
  <si>
    <t xml:space="preserve">Long-tail tool instance: Color Palette Extractor from Image. Pattern-inherited pain evidence from EC-C10 cluster; ships as part of the mega-toolbox catalog (&lt;=1 use/month tools included by directive).</t>
  </si>
  <si>
    <t xml:space="preserve">GT-EDU-sports-WG-G12</t>
  </si>
  <si>
    <t xml:space="preserve">League Fixture Scheduler (round-robin + standings)</t>
  </si>
  <si>
    <t xml:space="preserve">sports league schedule generator</t>
  </si>
  <si>
    <t xml:space="preserve">Long-tail tool instance: League Fixture Scheduler (round-robin + standings). Pattern-inherited pain evidence from WG-G12 cluster; ships as part of the mega-toolbox catalog (&lt;=1 use/month tools included by directive).</t>
  </si>
  <si>
    <t xml:space="preserve">GT-WG-wedding-WG-G15</t>
  </si>
  <si>
    <t xml:space="preserve">Wedding Planner Mini-Suite (guest/RSVP/budget)</t>
  </si>
  <si>
    <t xml:space="preserve">wedding guest list spreadsheet</t>
  </si>
  <si>
    <t xml:space="preserve">Long-tail tool instance: Wedding Planner Mini-Suite (guest/RSVP/budget). Pattern-inherited pain evidence from WG-G15 cluster; ships as part of the mega-toolbox catalog (&lt;=1 use/month tools included by directive).</t>
  </si>
  <si>
    <t xml:space="preserve">GT-WG-free-WG-G21</t>
  </si>
  <si>
    <t xml:space="preserve">Embeddable Review Widget (credit-linked)</t>
  </si>
  <si>
    <t xml:space="preserve">free google review widget</t>
  </si>
  <si>
    <t xml:space="preserve">Long-tail tool instance: Embeddable Review Widget (credit-linked). Pattern-inherited pain evidence from WG-G21 cluster; ships as part of the mega-toolbox catalog (&lt;=1 use/month tools included by directive).</t>
  </si>
  <si>
    <t xml:space="preserve">GT-OPS-sku-EC-C6</t>
  </si>
  <si>
    <t xml:space="preserve">SKU Code Generator</t>
  </si>
  <si>
    <t xml:space="preserve">sku generator online</t>
  </si>
  <si>
    <t xml:space="preserve">Long-tail tool instance: SKU Code Generator. Pattern-inherited pain evidence from EC-C6 cluster; ships as part of the mega-toolbox catalog (&lt;=1 use/month tools included by directive).</t>
  </si>
  <si>
    <t xml:space="preserve">GT-TXT-sort-WG-G3</t>
  </si>
  <si>
    <t xml:space="preserve">Line Sorter / Deduper</t>
  </si>
  <si>
    <t xml:space="preserve">sort lines alphabetically online</t>
  </si>
  <si>
    <t xml:space="preserve">Long-tail tool instance: Line Sorter / Deduper. Pattern-inherited pain evidence from WG-G3 cluster; ships as part of the mega-toolbox catalog (&lt;=1 use/month tools included by directive).</t>
  </si>
  <si>
    <t xml:space="preserve">GT-EDU-shuffle-WG-G17</t>
  </si>
  <si>
    <t xml:space="preserve">Question Bank Shuffler / Merger</t>
  </si>
  <si>
    <t xml:space="preserve">shuffle question bank</t>
  </si>
  <si>
    <t xml:space="preserve">Long-tail tool instance: Question Bank Shuffler / Merger. Pattern-inherited pain evidence from WG-G17 cluster; ships as part of the mega-toolbox catalog (&lt;=1 use/month tools included by directive).</t>
  </si>
  <si>
    <t xml:space="preserve">GT-WG-pathao-WG-G24</t>
  </si>
  <si>
    <t xml:space="preserve">Gig-Driver Earnings Tracker (BD)</t>
  </si>
  <si>
    <t xml:space="preserve">pathao foodpanda earnings tracker</t>
  </si>
  <si>
    <t xml:space="preserve">Long-tail tool instance: Gig-Driver Earnings Tracker (BD). Pattern-inherited pain evidence from WG-G24 cluster; ships as part of the mega-toolbox catalog (&lt;=1 use/month tools included by directive).</t>
  </si>
  <si>
    <t xml:space="preserve">GT-TG-telegram-TG-2</t>
  </si>
  <si>
    <t xml:space="preserve">Telegram Group Export Analyzer</t>
  </si>
  <si>
    <t xml:space="preserve">telegram group export analytics</t>
  </si>
  <si>
    <t xml:space="preserve">Long-tail tool instance: Telegram Group Export Analyzer. Pattern-inherited pain evidence from TG cluster; ships as part of the mega-toolbox catalog (&lt;=1 use/month tools included by directive).</t>
  </si>
  <si>
    <t xml:space="preserve">GT-CFG-gitignore-DV-B18</t>
  </si>
  <si>
    <t xml:space="preserve">.gitignore Generator (stack-aware)</t>
  </si>
  <si>
    <t xml:space="preserve">gitignore generator</t>
  </si>
  <si>
    <t xml:space="preserve">Long-tail tool instance: .gitignore Generator (stack-aware). Pattern-inherited pain evidence from DV-B18 cluster; ships as part of the mega-toolbox catalog (&lt;=1 use/month tools included by directive).</t>
  </si>
  <si>
    <t xml:space="preserve">DV-B13</t>
  </si>
  <si>
    <t xml:space="preserve">JWT debugging (decode/verify/expiry checks) — fully saturated: jwt.io plus at least 4 clones (token.dev, jw...</t>
  </si>
  <si>
    <t xml:space="preserve">only useful as ecosystem glue (auth-debug bundle), not a standalone bet. Downgraded.</t>
  </si>
  <si>
    <t xml:space="preserve">JWT debugging (decode/verify/expiry checks) — fully saturated: jwt.io plus at least 4 clones (token.dev, jwt.is, FusionAuth, SuperTokens decoders).</t>
  </si>
  <si>
    <t xml:space="preserve">GT-MKT-translate-EC-C13</t>
  </si>
  <si>
    <t xml:space="preserve">Product Listing Translator (EN to AR/BN/ES)</t>
  </si>
  <si>
    <t xml:space="preserve">translate product listings</t>
  </si>
  <si>
    <t xml:space="preserve">Long-tail tool instance: Product Listing Translator (EN to AR/BN/ES). Pattern-inherited pain evidence from EC-C13 cluster; ships as part of the mega-toolbox catalog (&lt;=1 use/month tools included by directive).</t>
  </si>
  <si>
    <t xml:space="preserve">GT-OPS-bkash-EC-C28-2</t>
  </si>
  <si>
    <t xml:space="preserve">Payment Screenshot to Ledger Entry (BD)</t>
  </si>
  <si>
    <t xml:space="preserve">bkash statement to ledger</t>
  </si>
  <si>
    <t xml:space="preserve">Long-tail tool instance: Payment Screenshot to Ledger Entry (BD). Pattern-inherited pain evidence from EC-C28 cluster; ships as part of the mega-toolbox catalog (&lt;=1 use/month tools included by directive).</t>
  </si>
  <si>
    <t xml:space="preserve">GT-TXT-html-WG-G3</t>
  </si>
  <si>
    <t xml:space="preserve">HTML Entity Encoder / Decoder</t>
  </si>
  <si>
    <t xml:space="preserve">html entity encoder</t>
  </si>
  <si>
    <t xml:space="preserve">Long-tail tool instance: HTML Entity Encoder / Decoder. Pattern-inherited pain evidence from WG-G3 cluster; ships as part of the mega-toolbox catalog (&lt;=1 use/month tools included by directive).</t>
  </si>
  <si>
    <t xml:space="preserve">GT-SEC-uuid-DV-B20</t>
  </si>
  <si>
    <t xml:space="preserve">UUID v4 / Bulk Generator</t>
  </si>
  <si>
    <t xml:space="preserve">uuid generator online</t>
  </si>
  <si>
    <t xml:space="preserve">Long-tail tool instance: UUID v4 / Bulk Generator. Pattern-inherited pain evidence from DV-B20 cluster; ships as part of the mega-toolbox catalog (&lt;=1 use/month tools included by directive).</t>
  </si>
  <si>
    <t xml:space="preserve">WG-G12</t>
  </si>
  <si>
    <t xml:space="preserve">Sports league scheduling for volunteers</t>
  </si>
  <si>
    <t xml:space="preserve">many free generators already exist (LeagueLobster LITE: https://scheduler.leaguelobster.com; PlayPass: https://playpass.com/sports-software/league-scheduler; SportSchedulerPro: https://sportschedulerpro.com; bracketmaker.app) and r/ultimate still asks for open</t>
  </si>
  <si>
    <t xml:space="preserve">GT-TXT-slug-WG-G3</t>
  </si>
  <si>
    <t xml:space="preserve">Unicode-aware Slug Generator</t>
  </si>
  <si>
    <t xml:space="preserve">slug generator online</t>
  </si>
  <si>
    <t xml:space="preserve">Long-tail tool instance: Unicode-aware Slug Generator. Pattern-inherited pain evidence from WG-G3 cluster; ships as part of the mega-toolbox catalog (&lt;=1 use/month tools included by directive).</t>
  </si>
  <si>
    <t xml:space="preserve">GT-WG-podcast-WG-G16</t>
  </si>
  <si>
    <t xml:space="preserve">Podcast Show Notes Generator (AI)</t>
  </si>
  <si>
    <t xml:space="preserve">podcast show notes generator</t>
  </si>
  <si>
    <t xml:space="preserve">Long-tail tool instance: Podcast Show Notes Generator (AI). Pattern-inherited pain evidence from WG-G16 cluster; ships as part of the mega-toolbox catalog (&lt;=1 use/month tools included by directive).</t>
  </si>
  <si>
    <t xml:space="preserve">DV-B8</t>
  </si>
  <si>
    <t xml:space="preserve">ngrok's free plan restricts (1GB/mo outbound data, fewer tunnels/domains), pushing devs to hunt alternatives.</t>
  </si>
  <si>
    <t xml:space="preserve">DO NOT build a tunnel service on free infra; at most build the "tunnel chooser" SEO page feeding ecosystem. Downgraded to content play.</t>
  </si>
  <si>
    <t xml:space="preserve">WG-G23</t>
  </si>
  <si>
    <t xml:space="preserve">Bijoy↔Unicode Bangla text conversion</t>
  </si>
  <si>
    <t xml:space="preserve"> | adjacent to G18 (legacy publishing in BD still uses Bijoy encoding); validate demand volume in BD publisher/typist groups.</t>
  </si>
  <si>
    <t xml:space="preserve">adjacent to G18 (legacy publishing in BD still uses Bijoy encoding)</t>
  </si>
  <si>
    <t xml:space="preserve">WG-G24</t>
  </si>
  <si>
    <t xml:space="preserve">BD gig-economy rider tooling (Pathao/foodpanda earnings + mileage)</t>
  </si>
  <si>
    <t xml:space="preserve"> | adjacent to G10; US apps don't cover BD; validate in rider FB groups.</t>
  </si>
  <si>
    <t xml:space="preserve">adjacent to G10; US apps don't cover BD</t>
  </si>
  <si>
    <t xml:space="preserve">WG-G25</t>
  </si>
  <si>
    <t xml:space="preserve">"AI-generated code that doesn't run" fixer for non-devs (vibe-coders)</t>
  </si>
  <si>
    <t xml:space="preserve"> | adjacent to G7; validate in r/ChatGPTCoding-class communities (not searched this run).  ---  ## TOP SYNTHESIS (for the $0 BD solo dev)  **Distribution stack (in order of expected ROI/effort):** 1. **Embeddable widgets + watermark/credit on every output** (A8, A9) — passive, compounding, free. 2. **Tool directories batch-submit + Product Hunt one-shot** (A2, A3) — one weekend of work, permanent backlinks. 3. **Long-tail programmatic-ish SEO on zero-competition queries** (A1) — especially Bangla-language queries (G18: almost no competition); expect 6–12 months. 4. **Telegram-native tools/bots with Stars + AdsGram** (A5) — BD-audience-native, payment rails that actually work from Bangladesh. 5. **Value-first Reddit/HN answers** (A7) — the tool IS the answer to the exact complaint threads catalogued above. 6. **GitHub Pages + awesome-list placement** (A6) as free hosting/secondary surface; **CWS extensions** (A4) as free trust-badge storefronts.  **Weird-gold shortlist (evidence-weighted):** 1. **G4 citation-verify** (batch hallucination checker) — E1 pain, severity 9, no free incumbent, pure API automation. 2. **G9 irregular-payment rent ledger → court-ready PDF** — E1 pain + proven template purchases (G20). 3. **G5 student provenance/evidence trail vs AI-detector false positives** — E1, severity 9, explosive student word-of-mouth. 4. **G11 announcement-slide generator (church first, mosque adjacent)** — weekly recurring pain, projected output = free advertising (A8 loop). 5. **G17 Telegram BCS quiz bot** — massive BD audience, weak incumbents on Telegram specifically. 6. **G6 slop-linter** — zero-cost static heuristics, shareable output, HN-friendly. 7. **G8 chat-export cleaner** — proven multi-format demand; CWS + web.</t>
  </si>
  <si>
    <t xml:space="preserve">adjacent to G7</t>
  </si>
  <si>
    <t xml:space="preserve">GT-CFG-generate-DV-B18</t>
  </si>
  <si>
    <t xml:space="preserve">Changelog Generator from git log</t>
  </si>
  <si>
    <t xml:space="preserve">generate changelog from git</t>
  </si>
  <si>
    <t xml:space="preserve">Long-tail tool instance: Changelog Generator from git log. Pattern-inherited pain evidence from DV-B18 cluster; ships as part of the mega-toolbox catalog (&lt;=1 use/month tools included by directive).</t>
  </si>
  <si>
    <t xml:space="preserve">GT-TXT-remove-WG-G3</t>
  </si>
  <si>
    <t xml:space="preserve">Whitespace / Empty-line Cleaner</t>
  </si>
  <si>
    <t xml:space="preserve">remove empty lines online</t>
  </si>
  <si>
    <t xml:space="preserve">Long-tail tool instance: Whitespace / Empty-line Cleaner. Pattern-inherited pain evidence from WG-G3 cluster; ships as part of the mega-toolbox catalog (&lt;=1 use/month tools included by directive).</t>
  </si>
  <si>
    <t xml:space="preserve">GT-API-api-DV-B17</t>
  </si>
  <si>
    <t xml:space="preserve">Rate-Limit Retry Planner (calculator)</t>
  </si>
  <si>
    <t xml:space="preserve">api rate limit calculator</t>
  </si>
  <si>
    <t xml:space="preserve">Long-tail tool instance: Rate-Limit Retry Planner (calculator). Pattern-inherited pain evidence from DV-B17 cluster; ships as part of the mega-toolbox catalog (&lt;=1 use/month tools included by directive).</t>
  </si>
  <si>
    <t xml:space="preserve">WG-G22</t>
  </si>
  <si>
    <t xml:space="preserve">Mosque/Islamic-center tooling (announcement slides, prayer-time images, Ramadan schedule generators)</t>
  </si>
  <si>
    <t xml:space="preserve"> | adjacent to G11 evidence; BD-relevant. Validate in BD/UK Muslim FB groups.</t>
  </si>
  <si>
    <t xml:space="preserve">adjacent to G11 evidence; BD-relevant. Validate in BD/UK Muslim FB groups.</t>
  </si>
  <si>
    <t xml:space="preserve">GT-IMG-placeholder-EC-C10</t>
  </si>
  <si>
    <t xml:space="preserve">Placeholder Image Generator</t>
  </si>
  <si>
    <t xml:space="preserve">placeholder image generator</t>
  </si>
  <si>
    <t xml:space="preserve">Long-tail tool instance: Placeholder Image Generator. Pattern-inherited pain evidence from EC-C10 cluster; ships as part of the mega-toolbox catalog (&lt;=1 use/month tools included by directive).</t>
  </si>
  <si>
    <t xml:space="preserve">GT-TXT-reading-WG-G3</t>
  </si>
  <si>
    <t xml:space="preserve">Reading Time / Grade-level Checker</t>
  </si>
  <si>
    <t xml:space="preserve">reading level checker</t>
  </si>
  <si>
    <t xml:space="preserve">Long-tail tool instance: Reading Time / Grade-level Checker. Pattern-inherited pain evidence from WG-G3 cluster; ships as part of the mega-toolbox catalog (&lt;=1 use/month tools included by directive).</t>
  </si>
  <si>
    <t xml:space="preserve">GT-EDU-worksheet-WG-G13</t>
  </si>
  <si>
    <t xml:space="preserve">Print-perfect Worksheet Generator</t>
  </si>
  <si>
    <t xml:space="preserve">worksheet generator printable</t>
  </si>
  <si>
    <t xml:space="preserve">Long-tail tool instance: Print-perfect Worksheet Generator. Pattern-inherited pain evidence from WG-G13 cluster; ships as part of the mega-toolbox catalog (&lt;=1 use/month tools included by directive).</t>
  </si>
  <si>
    <t xml:space="preserve">WG-G19</t>
  </si>
  <si>
    <t xml:space="preserve">PTA / school-committee tracking (weak signal — validate)</t>
  </si>
  <si>
    <t xml:space="preserve">only one strong artifact found: JP "PTA hell" attendance-tracking template post — "Saving you from the hell of PTA attendance tracking... Google Forms, Sheets and Apps Script" (https://note.com/s0uh3y/n/nc6552a14074b) (Japanese market, translated relevance).</t>
  </si>
  <si>
    <t xml:space="preserve">GT-CFG-open-DV-B18</t>
  </si>
  <si>
    <t xml:space="preserve">OSS License / Notice File Generator</t>
  </si>
  <si>
    <t xml:space="preserve">open source license generator</t>
  </si>
  <si>
    <t xml:space="preserve">Long-tail tool instance: OSS License / Notice File Generator. Pattern-inherited pain evidence from DV-B18 cluster; ships as part of the mega-toolbox catalog (&lt;=1 use/month tools included by directive).</t>
  </si>
  <si>
    <t xml:space="preserve">GT-TXT-lorem-WG-G3</t>
  </si>
  <si>
    <t xml:space="preserve">Lorem / Placeholder Text Generator</t>
  </si>
  <si>
    <t xml:space="preserve">lorem ipsum generator</t>
  </si>
  <si>
    <t xml:space="preserve">Long-tail tool instance: Lorem / Placeholder Text Generator. Pattern-inherited pain evidence from WG-G3 cluster; ships as part of the mega-toolbox catalog (&lt;=1 use/month tools included by directive).</t>
  </si>
  <si>
    <t xml:space="preserve">GT-CFG-create-DV-B11</t>
  </si>
  <si>
    <t xml:space="preserve">Natural Language to Cron (AI)</t>
  </si>
  <si>
    <t xml:space="preserve">create cron from english</t>
  </si>
  <si>
    <t xml:space="preserve">Long-tail tool instance: Natural Language to Cron (AI). Pattern-inherited pain evidence from DV-B11 cluster; ships as part of the mega-toolbox catalog (&lt;=1 use/month tools included by directive).</t>
  </si>
  <si>
    <t xml:space="preserve">GT-WG-pta-WG-G19</t>
  </si>
  <si>
    <t xml:space="preserve">PTA / Club Attendance &amp; Dues Tracker</t>
  </si>
  <si>
    <t xml:space="preserve">pta attendance tracking</t>
  </si>
  <si>
    <t xml:space="preserve">Long-tail tool instance: PTA / Club Attendance &amp; Dues Tracker. Pattern-inherited pain evidence from WG-G19 cluster; ships as part of the mega-toolbox catalog (&lt;=1 use/month tools included by directive).</t>
  </si>
  <si>
    <t xml:space="preserve">*Comp = Competition score (10 = no/free incumbent, 1 = saturated category king). Composite = weighted 10-dim score. Full problem text + source URLs per row: research/opportunities.json. Evidence: E1 community-verified, E2 product/doc-verified, E3 pattern-inferred.</t>
  </si>
  <si>
    <t xml:space="preserve">Top 50 Opportunities by Composite Score</t>
  </si>
  <si>
    <t xml:space="preserve">Score</t>
  </si>
  <si>
    <t xml:space="preserve">Why it wins (abridged)</t>
  </si>
  <si>
    <t xml:space="preserve">Existing tools / price anchors</t>
  </si>
  <si>
    <t xml:space="preserve">Src URLs</t>
  </si>
  <si>
    <t xml:space="preserve">iLovePDF (free tier w/ file-size caps; Premium $5/mo annual, $9/mo monthly — ilovepdf.com/pricing), Smallpdf (free 2 tasks/day-ish trial behavior; Pro $12/mo or $108/yr — ihatepdf comparison + smallpdf pricing page), PDF</t>
  </si>
  <si>
    <t xml:space="preserve">DocuClipper (from $39.95-$49.95/mo for 20 conversions per docuclipper blog — verified on their blog), MoneyThumb 2qbo Convert Pro+ ($299.95 — capyparse review), ProperSoft ProperConvert (desktop, one-time, price on purch</t>
  </si>
  <si>
    <t xml:space="preserve">Inherits demand pattern from research row DR-C2 (see DR-C2 for E1/E2 evidence).</t>
  </si>
  <si>
    <t xml:space="preserve">iLovePDF (free caps, Premium $5/mo annual per pricing page), Smallpdf (Pro $12/mo, $108/yr), Adobe online.</t>
  </si>
  <si>
    <t xml:space="preserve">Dadroit (free viewer, commercial product), Janice (free desktop), jq (free CLI).</t>
  </si>
  <si>
    <t xml:space="preserve">Expensify (freemium, price unverified), Dext (paid, unverified), DIY OCR scripts.</t>
  </si>
  <si>
    <t xml:space="preserve">Nature-linked analysis: "Tens of thousands of publications from 2025 might include invalid references generated by AI" (r/technology thread: https://www.reddit.com/r/technology/comments/1sd0khs/); study: ChatGPT false-citation rates 6%–60% by domain (https://www.psypost.org/chatgpt-hallucinates-fake</t>
  </si>
  <si>
    <t xml:space="preserve">Sourcely et al. push paid "verify sources" SaaS (https://www.sourcely.net/resources/ai-hallucinated-citations-spot-fake-sources-before-submit); no dominant free batch-verifier found in results.</t>
  </si>
  <si>
    <t xml:space="preserve">Inherits demand pattern from research row DR-B2 (see DR-B2 for E1/E2 evidence).</t>
  </si>
  <si>
    <t xml:space="preserve">Inherits demand pattern from research row DR-A2 (see DR-A2 for E1/E2 evidence).</t>
  </si>
  <si>
    <t xml:space="preserve">accounting suites assume bank-feed auto-match (needs QBO/Xero + connected bank — unavailable for UPI/BD bank setups).</t>
  </si>
  <si>
    <t xml:space="preserve">Dadroit (commercial, price unverified), UltraEdit, jq (free CLI).</t>
  </si>
  <si>
    <t xml:space="preserve">Excel wizard, LibreOffice (free), many delimiter-converter web tools (unverified).</t>
  </si>
  <si>
    <t xml:space="preserve">hishab.com.bd markets "Manual Khata vs Excel vs Business Software for Bangladeshi SMEs" (E2 — local vendor validating the market). accoru.com: "Best Accounting Software for Small Business in Bangladesh — from spreadsheet</t>
  </si>
  <si>
    <r>
      <rPr>
        <sz val="11"/>
        <color rgb="FF37352F"/>
        <rFont val="Noto Sans CJK SC"/>
        <family val="0"/>
        <charset val="1"/>
      </rPr>
      <t xml:space="preserve">orders.app, Porsa, neartail (order forms) — emerging, mostly paid/free-</t>
    </r>
    <r>
      <rPr>
        <sz val="11"/>
        <color rgb="FF37352F"/>
        <rFont val="WenQuanYi Zen Hei"/>
        <family val="2"/>
        <charset val="1"/>
      </rPr>
      <t xml:space="preserve">试用 </t>
    </r>
    <r>
      <rPr>
        <sz val="11"/>
        <color rgb="FF37352F"/>
        <rFont val="Noto Sans CJK SC"/>
        <family val="0"/>
        <charset val="1"/>
      </rPr>
      <t xml:space="preserve">tiers; no dominant free tool.</t>
    </r>
  </si>
  <si>
    <t xml:space="preserve">r/Teachers: "False positives from AI detection in education destroyed my [relationship with students]... One of them cried in my office" (https://www.reddit.com/r/Teachers/comments/1oqozxw/); districts face lawsuits over false accusations (https://www.reddit.com/r/TexasTeachers/comments/1gbyvn6/); T</t>
  </si>
  <si>
    <t xml:space="preserve">AI detectors (Turnitin institutional, GPTZero etc.) — none serve the *defense* side well.</t>
  </si>
  <si>
    <t xml:space="preserve">catalog-optimizer.com already sells a "Shopify CSV Import Error Fixer" — proof of WTP, but appears low-profile.</t>
  </si>
  <si>
    <t xml:space="preserve">MDN docs, test-cors.org, browser extensions.</t>
  </si>
  <si>
    <t xml:space="preserve">PDFtk (free CLI), qpdf, iLovePDF flatten (free tier), PDFgear.</t>
  </si>
  <si>
    <t xml:space="preserve">r/Bookkeeping: "Is there a safe way to generate csv from these pdfs without using some shady websites that claim to convert while also storing the data?" (E1). r/QuickBooks: "Which online PDF to CSV website [do you use]"</t>
  </si>
  <si>
    <t xml:space="preserve">Adobe Acrobat (paid), OCRmyPDF (free CLI), SearchablePDF.org etc. (freemium web).</t>
  </si>
  <si>
    <t xml:space="preserve">reputable web converters (iLovePDF/Smallpdf upload files to servers!), desktop PDF24.</t>
  </si>
  <si>
    <t xml:space="preserve">pgloader (free OSS), dbconvert.com (commercial), SQLines (free-ish).</t>
  </si>
  <si>
    <t xml:space="preserve">Inherits demand pattern from research row DV-B2 (see DV-B2 for E1/E2 evidence).</t>
  </si>
  <si>
    <t xml:space="preserve">Inherits demand pattern from research row DR-A1 (see DR-A1 for E1/E2 evidence).</t>
  </si>
  <si>
    <t xml:space="preserve">Inherits demand pattern from research row EC-C1 (see EC-C1 for E1/E2 evidence).</t>
  </si>
  <si>
    <t xml:space="preserve">ProperSoft ProperConvert (paid one-time; exact price unverified this pass), MoneyThumb ($299.95 top tier), countless free OFX generators of dubious quality.</t>
  </si>
  <si>
    <t xml:space="preserve">see F1/F2 (DocuClipper $49.95+/mo, MoneyThumb $299.95, ProperSoft desktop).</t>
  </si>
  <si>
    <t xml:space="preserve">Excel import wizard (built-in), Power Query (free), various "CSV fixer" sites (unknown quality).</t>
  </si>
  <si>
    <t xml:space="preserve">Hoppscotch, Bruno, Insomnia, HTTPie (mostly free/open-source).</t>
  </si>
  <si>
    <t xml:space="preserve">jsonlint.com (free, paste-based, size-limited), jsonrepair libs (free, dev-only), n8n++ Chrome ext.</t>
  </si>
  <si>
    <t xml:space="preserve">Adobe Acrobat Pro ($19.99-29.99/mo unverified), Able2Extract (paid, ~$150/yr unverified), PDFTables (25 pages free tier per r/excel 4p6z9f), PDFgear (free).</t>
  </si>
  <si>
    <t xml:space="preserve">Inherits demand pattern from research row DR-F1 (see DR-F1 for E1/E2 evidence).</t>
  </si>
  <si>
    <t xml:space="preserve">Matrixify (Shopify app, paid, ~$20-100/mo unverified), generic ETL (unverified).</t>
  </si>
  <si>
    <t xml:space="preserve">Portaim (AI supplier-CSV→Shopify importer, new), Matrixify $20–200/mo, syncX Stock Sync free–$7/mo, Excel wrangling.</t>
  </si>
  <si>
    <t xml:space="preserve">CSV Splitter tools (assorted, unknown), Power Query (free, hard for novices).</t>
  </si>
  <si>
    <t xml:space="preserve">Cin7 Core, Linnworks, Sellbrite (all $$$/mo); no credible $0 tier for tiny sellers.</t>
  </si>
  <si>
    <t xml:space="preserve">Inherits demand pattern from research row DV-B20 (see DV-B20 for E1/E2 evidence).</t>
  </si>
  <si>
    <t xml:space="preserve">random "remove line breaks" sites (unknown quality).</t>
  </si>
  <si>
    <t xml:space="preserve">scale of demand: Ogroshor claims "1,600,847+ questions" practice bank (https://ogroshor.com); Studypress markets "All BCS 10th–45th questions and solutions" (https://studypress.org); Android apps with 100k+ MCQs (https://play.google.com/store/apps/details?id=com.bcsprostuti.tanim.bcsprostuti; https:</t>
  </si>
  <si>
    <t xml:space="preserve">Ogroshor/Studypress/apps — freemium/paid tiers.</t>
  </si>
  <si>
    <t xml:space="preserve">Power Query (free), VBA snippets.</t>
  </si>
  <si>
    <t xml:space="preserve">r/Teachers: "I rely heavily on Quizlet but now its main mode is no longer free so I can't expect students to use it" (https://www.reddit.com/r/Teachers/comments/x3a1lg/); r/quizlet: "extremely disappointed and saddened... two of their most essential learning tools locked behind a paywall" (https://w</t>
  </si>
  <si>
    <t xml:space="preserve">Quizlet Plus subscription; Knowt free; Cram free-ish.</t>
  </si>
  <si>
    <t xml:space="preserve">r/ShopifyeCommerce: "I source products from two different suppliers. Right now, when a customer places an order, I have to…" (manual chain, E1). Shopify Community: "What reliable app can replace Stock Sync for dropship s</t>
  </si>
  <si>
    <t xml:space="preserve">"the actual job became editing AI drafts and nobody warned me the editing is harder than the writing" (https://www.reddit.com/r/content_marketing/comments/1v39e5a/); "HOW TO REMOVE AI SLOP FROM YOUR WRITING" guides (https://www.reddit.com/r/WritingWithAI/comments/1toi0v2/); "AI slop is when you hand</t>
  </si>
  <si>
    <t xml:space="preserve">paid AI-humanizer/detector-evasion SaaS (sketchy); no respected free "slop linter" surfaced.</t>
  </si>
  <si>
    <t xml:space="preserve">ConvertJSON/Klipfolio-type converters (simple cases only), pandas (free, code).</t>
  </si>
  <si>
    <t xml:space="preserve">Power Query fuzzy matching (free, 365-only), third-party dedupe add-ins (paid, unverified).</t>
  </si>
  <si>
    <t xml:space="preserve">epinium/sellersprite SaaS (paid); no free validator.</t>
  </si>
  <si>
    <t xml:space="preserve">DataFeedWatch from ~$59–64/mo (F6); feed tools price out micro-sellers.</t>
  </si>
  <si>
    <t xml:space="preserve">Zone-Level Portfolio Statistics</t>
  </si>
  <si>
    <t xml:space="preserve">Tools</t>
  </si>
  <si>
    <t xml:space="preserve">Avg score</t>
  </si>
  <si>
    <t xml:space="preserve">Max score</t>
  </si>
  <si>
    <t xml:space="preserve">E1 rows</t>
  </si>
  <si>
    <t xml:space="preserve">E2 rows</t>
  </si>
  <si>
    <t xml:space="preserve">Build effort h</t>
  </si>
  <si>
    <t xml:space="preserve">TOTAL</t>
  </si>
  <si>
    <t xml:space="preserve">Avg score column = mean composite per zone. Build effort = cumulative one-time build hours estimate (maint min/wk = recurring). Zones ordered by average score.</t>
  </si>
  <si>
    <t xml:space="preserve">Subscription Model — One Product, Many Tools (anti-underpricing)</t>
  </si>
  <si>
    <t xml:space="preserve">Price</t>
  </si>
  <si>
    <t xml:space="preserve">Annual</t>
  </si>
  <si>
    <t xml:space="preserve">Who it serves</t>
  </si>
  <si>
    <t xml:space="preserve">Limits &amp; unlockables</t>
  </si>
  <si>
    <t xml:space="preserve">Platform roles served</t>
  </si>
  <si>
    <t xml:space="preserve">Value anchor (what it replaces)</t>
  </si>
  <si>
    <t xml:space="preserve">Why price is fair</t>
  </si>
  <si>
    <t xml:space="preserve">$0</t>
  </si>
  <si>
    <t xml:space="preserve">Anyone arriving from search; students; casual one-off users</t>
  </si>
  <si>
    <t xml:space="preserve">All client-side tools unlimited; server/AI tools metered daily (10 credits); watermark/credit on shareable outputs; 1 concurrent job</t>
  </si>
  <si>
    <t xml:space="preserve">HOOK (53) + GLUE core (97)</t>
  </si>
  <si>
    <t xml:space="preserve">free alternatives: iLovePDF free, crontab.guru, jwt.io</t>
  </si>
  <si>
    <t xml:space="preserve">Free tier is the SEO engine: every tool page = a landing page; converts via caps + batch needs</t>
  </si>
  <si>
    <t xml:space="preserve">$4.99/mo</t>
  </si>
  <si>
    <t xml:space="preserve">$39/yr</t>
  </si>
  <si>
    <t xml:space="preserve">Sellers, freelancers, students, office workers (the 95% case)</t>
  </si>
  <si>
    <t xml:space="preserve">Full 240+ toolbox; batch mode; no watermarks; 300 server credits/mo; 2GB files; priority queue</t>
  </si>
  <si>
    <t xml:space="preserve">PRO (65) + heavy GLUE</t>
  </si>
  <si>
    <t xml:space="preserve">iLovePDF ~$4-7/mo for PDF-only; Smallpdf $9/mo; Matrixify $20/mo for Shopify-only</t>
  </si>
  <si>
    <t xml:space="preserve">One niche incumbent charges more than PRO for ONE domain; FRAZIYM covers data+PDF+e-com+dev in one</t>
  </si>
  <si>
    <t xml:space="preserve">STUDIO</t>
  </si>
  <si>
    <t xml:space="preserve">$9.99/mo</t>
  </si>
  <si>
    <t xml:space="preserve">$79/yr</t>
  </si>
  <si>
    <t xml:space="preserve">Power users: accountants, agencies, AI-native devs</t>
  </si>
  <si>
    <t xml:space="preserve">PRO + AI-featured tools (1,500 AI credits/mo): citation verifier, error decoder, quiz/show-notes gen; API-lite 1k calls/mo; Telegram Mini App perks</t>
  </si>
  <si>
    <t xml:space="preserve">LTV (32) AI-assisted</t>
  </si>
  <si>
    <t xml:space="preserve">DocuClipper $49.95/mo (bank stmt only); Dext $13-20.50/mo (receipts only); DataFeedWatch $59/mo (feeds only)</t>
  </si>
  <si>
    <t xml:space="preserve">STUDIO replaces any ONE niche subscription at &lt;25% of its price while including everything else</t>
  </si>
  <si>
    <t xml:space="preserve">$19.99/mo</t>
  </si>
  <si>
    <t xml:space="preserve">$159/yr</t>
  </si>
  <si>
    <t xml:space="preserve">Small teams (3 seats), integrators, automation-heavy users</t>
  </si>
  <si>
    <t xml:space="preserve">STUDIO x3 seats + 5,000 AI credits + webhook workspace (bins/replay) + MCP tooling + 25k API calls + priority support</t>
  </si>
  <si>
    <t xml:space="preserve">LTV server-side + teams</t>
  </si>
  <si>
    <t xml:space="preserve">Postman $14/user/mo (1 user!); Hookdeck from ~$19/mo; ngrok $8-10/mo</t>
  </si>
  <si>
    <t xml:space="preserve">3-seat team plan beats Postman single-user price; metered server features protected by caps</t>
  </si>
  <si>
    <t xml:space="preserve">Profit mechanics</t>
  </si>
  <si>
    <t xml:space="preserve">Infra cost</t>
  </si>
  <si>
    <t xml:space="preserve">Cloudflare free tier (Workers 100k req/day, Pages, D1, R2, Queues, Cron) — verified 2026-09-02</t>
  </si>
  <si>
    <t xml:space="preserve">AI cost</t>
  </si>
  <si>
    <t xml:space="preserve">Multi-provider free gateway: Groq + OpenRouter:free + CF Workers AI + SambaNova + Mistral ≈ 500-2,000 req/day pooled; cache-first routing</t>
  </si>
  <si>
    <t xml:space="preserve">Payment fees</t>
  </si>
  <si>
    <t xml:space="preserve">~2-5%</t>
  </si>
  <si>
    <t xml:space="preserve">USDT P2P-&gt;bKash ≈1.4-2% (cheapest); Telegram Stars ≈4-5% (21-day hold); Paddle 5%+$1 when scale requires</t>
  </si>
  <si>
    <t xml:space="preserve">Gross margin</t>
  </si>
  <si>
    <t xml:space="preserve">≈95-98%</t>
  </si>
  <si>
    <t xml:space="preserve">Revenue minus payment fees only; no hosting/AI fixed cost under free caps</t>
  </si>
  <si>
    <t xml:space="preserve">Underpricing guard</t>
  </si>
  <si>
    <t xml:space="preserve">Rule</t>
  </si>
  <si>
    <t xml:space="preserve">Any tier price change must stay above: (a) 2x cheapest single-niche competitor monthly price ÷ 20, (b) willingness-to-pay evidence floor $4/mo; never compete to $0</t>
  </si>
  <si>
    <t xml:space="preserve">Prices in USD. Stars/crypto rails avoid the Stripe/PayPal wall for a Bangladesh solo founder (see Payment Rails sheet). Prices intentionally at market-mid of consumer utility SaaS, not race-to-bottom.</t>
  </si>
  <si>
    <t xml:space="preserve">Revenue Scenarios — subscriber math (fees net of infra $0)</t>
  </si>
  <si>
    <t xml:space="preserve">Tier price assumptions (editable)</t>
  </si>
  <si>
    <t xml:space="preserve">PRO $/mo</t>
  </si>
  <si>
    <t xml:space="preserve">STUDIO $/mo</t>
  </si>
  <si>
    <t xml:space="preserve">MAX $/mo</t>
  </si>
  <si>
    <t xml:space="preserve">Ads+affiliate $/day (conservative)</t>
  </si>
  <si>
    <t xml:space="preserve">Scenarios (live formulas)</t>
  </si>
  <si>
    <t xml:space="preserve">Scenario</t>
  </si>
  <si>
    <t xml:space="preserve">PRO subs</t>
  </si>
  <si>
    <t xml:space="preserve">STUDIO subs</t>
  </si>
  <si>
    <t xml:space="preserve">MAX subs</t>
  </si>
  <si>
    <t xml:space="preserve">MRR $</t>
  </si>
  <si>
    <t xml:space="preserve">$/day</t>
  </si>
  <si>
    <t xml:space="preserve">Fees ~%</t>
  </si>
  <si>
    <t xml:space="preserve">Net $/day</t>
  </si>
  <si>
    <t xml:space="preserve">Funnel assumption (E3)</t>
  </si>
  <si>
    <t xml:space="preserve">Trigger date (90-day plan)</t>
  </si>
  <si>
    <t xml:space="preserve">Cumulative tools live</t>
  </si>
  <si>
    <t xml:space="preserve">A — First blood</t>
  </si>
  <si>
    <t xml:space="preserve">Day 21-45: first paid conversion from one seeded tool's thank-you page</t>
  </si>
  <si>
    <t xml:space="preserve">Day 30: 6 tools</t>
  </si>
  <si>
    <t xml:space="preserve">6</t>
  </si>
  <si>
    <t xml:space="preserve">B — $1/day</t>
  </si>
  <si>
    <t xml:space="preserve">400-800 free-tool visits/day converting 0.5-1% to paid</t>
  </si>
  <si>
    <t xml:space="preserve">Day 45: 12 tools</t>
  </si>
  <si>
    <t xml:space="preserve">12</t>
  </si>
  <si>
    <t xml:space="preserve">C — $3/day</t>
  </si>
  <si>
    <t xml:space="preserve">1.5-3k visits/day via pSEO long-tail + Telegram channel</t>
  </si>
  <si>
    <t xml:space="preserve">Day 60: 25 tools</t>
  </si>
  <si>
    <t xml:space="preserve">25</t>
  </si>
  <si>
    <t xml:space="preserve">D — $10/day</t>
  </si>
  <si>
    <t xml:space="preserve">6-10k visits/day; churn &lt;8%/mo; 2-4% free-&gt;paid on segment-fit tools</t>
  </si>
  <si>
    <t xml:space="preserve">Day 90: 45 tools</t>
  </si>
  <si>
    <t xml:space="preserve">45</t>
  </si>
  <si>
    <t xml:space="preserve">E — $30/day</t>
  </si>
  <si>
    <t xml:space="preserve">15-25k visits/day; email/Telegram list 5-10k; affiliate + AdsGram adds ~$7/day</t>
  </si>
  <si>
    <t xml:space="preserve">Month 5-6: 80+ tools</t>
  </si>
  <si>
    <t xml:space="preserve">80</t>
  </si>
  <si>
    <r>
      <rPr>
        <sz val="9"/>
        <color rgb="FF8C8A84"/>
        <rFont val="Noto Sans CJK SC"/>
        <family val="0"/>
        <charset val="1"/>
      </rPr>
      <t xml:space="preserve">MRR and $/day are live formulas — edit tier prices above to re-model. Fees = blended payment-rail cost (see Payment Rails). Scenario D/E assume affiliate + AdsGram top-ups beyond subscriptions (entered conservatively at $0 here; PDF report shows with +$1.5-7/day). Free-&gt;paid conversion assumptions are E3 and must be validated with real funnel data. Note: '</t>
    </r>
    <r>
      <rPr>
        <sz val="9"/>
        <color rgb="FF8C8A84"/>
        <rFont val="WenQuanYi Zen Hei"/>
        <family val="2"/>
        <charset val="1"/>
      </rPr>
      <t xml:space="preserve">工具</t>
    </r>
    <r>
      <rPr>
        <sz val="9"/>
        <color rgb="FF8C8A84"/>
        <rFont val="Noto Sans CJK SC"/>
        <family val="0"/>
        <charset val="1"/>
      </rPr>
      <t xml:space="preserve">-fit' = segment fit.</t>
    </r>
  </si>
  <si>
    <t xml:space="preserve">Payout Rails for BD Solo Founder (no bank/card) — verified 2026-09-02</t>
  </si>
  <si>
    <t xml:space="preserve">Rail</t>
  </si>
  <si>
    <t xml:space="preserve">Verdict</t>
  </si>
  <si>
    <t xml:space="preserve">Fees</t>
  </si>
  <si>
    <t xml:space="preserve">Min payout</t>
  </si>
  <si>
    <t xml:space="preserve">KYC</t>
  </si>
  <si>
    <t xml:space="preserve">Timeline</t>
  </si>
  <si>
    <t xml:space="preserve">Notes / risk</t>
  </si>
  <si>
    <t xml:space="preserve">Confidence</t>
  </si>
  <si>
    <t xml:space="preserve">Crypto affiliate USDT -&gt; P2P -&gt; bKash (Bybit/OKX)</t>
  </si>
  <si>
    <t xml:space="preserve">WORKS — cheapest chain</t>
  </si>
  <si>
    <t xml:space="preserve">~1.4-2% total</t>
  </si>
  <si>
    <t xml:space="preserve">exchange min</t>
  </si>
  <si>
    <t xml:space="preserve">Exchange KYC + P2P counterparty</t>
  </si>
  <si>
    <t xml:space="preserve">hours-1 day</t>
  </si>
  <si>
    <t xml:space="preserve">Prefer Bybit/OKX P2P (0% fee, bKash/Nagad listed); Binance BD restricted Mar 2025; USDT/BDT rate 122-124 = +2-3.5% FX bonus; risk = MFS wallet freezes from many small P2P credits</t>
  </si>
  <si>
    <t xml:space="preserve">High (E2)</t>
  </si>
  <si>
    <t xml:space="preserve">Telegram Stars -&gt; Fragment -&gt; GRAM -&gt; USDT -&gt; P2P</t>
  </si>
  <si>
    <t xml:space="preserve">WORKS — native for TG products</t>
  </si>
  <si>
    <t xml:space="preserve">~4-5% total</t>
  </si>
  <si>
    <t xml:space="preserve">1,000 Stars (~$13)</t>
  </si>
  <si>
    <t xml:space="preserve">Fragment KYC mandatory (purchases since Nov 2024)</t>
  </si>
  <si>
    <t xml:space="preserve">21-day hold + payout</t>
  </si>
  <si>
    <t xml:space="preserve">$0.013/Star payout rate; Toncoin renamed GRAM 1:1 (Jun 15, 2026)</t>
  </si>
  <si>
    <t xml:space="preserve">AdsGram (TGA mini-app ads)</t>
  </si>
  <si>
    <t xml:space="preserve">WORKS — official TG ad network</t>
  </si>
  <si>
    <t xml:space="preserve">net-45 style</t>
  </si>
  <si>
    <t xml:space="preserve">$100</t>
  </si>
  <si>
    <t xml:space="preserve">light</t>
  </si>
  <si>
    <t xml:space="preserve">monthly</t>
  </si>
  <si>
    <t xml:space="preserve">USDT-TON payouts; rewarded ads in Mini Apps</t>
  </si>
  <si>
    <t xml:space="preserve">Med-High (E2)</t>
  </si>
  <si>
    <t xml:space="preserve">Adsterra</t>
  </si>
  <si>
    <t xml:space="preserve">WORKS (crypto)</t>
  </si>
  <si>
    <t xml:space="preserve">rev-share</t>
  </si>
  <si>
    <t xml:space="preserve">$100 crypto (USDT-TRC20)</t>
  </si>
  <si>
    <t xml:space="preserve">email</t>
  </si>
  <si>
    <t xml:space="preserve">net-14/16</t>
  </si>
  <si>
    <t xml:space="preserve">The famous $5 min is WebMoney/Paxum only, NOT crypto</t>
  </si>
  <si>
    <t xml:space="preserve">Paddle -&gt; Payoneer -&gt; bKash</t>
  </si>
  <si>
    <t xml:space="preserve">WORKS — only mainstream SaaS checkout open to BD</t>
  </si>
  <si>
    <t xml:space="preserve">3% + $1 (Payoneer-&gt;bKash min BDT 1000, cap BDT 250k/tx)</t>
  </si>
  <si>
    <t xml:space="preserve">Paddle $1,000 initial review bar</t>
  </si>
  <si>
    <t xml:space="preserve">Payoneer KYC (BD ID ok)</t>
  </si>
  <si>
    <t xml:space="preserve">weekly/2x-monthly</t>
  </si>
  <si>
    <t xml:space="preserve">Merchant-of-record solves sales tax; use when subscription volume justifies</t>
  </si>
  <si>
    <t xml:space="preserve">NOWPayments / BTCPay (accept rails)</t>
  </si>
  <si>
    <t xml:space="preserve">WORKS — inbound crypto acceptance</t>
  </si>
  <si>
    <t xml:space="preserve">0.5-1.5% / 0% (self-host BTC-only)</t>
  </si>
  <si>
    <t xml:space="preserve">none-material</t>
  </si>
  <si>
    <t xml:space="preserve">instant</t>
  </si>
  <si>
    <t xml:space="preserve">Accept USDT/BTC from customers; pair with P2P off-ramp</t>
  </si>
  <si>
    <t xml:space="preserve">Med (E2)</t>
  </si>
  <si>
    <t xml:space="preserve">Direct MTO remittance -&gt; bKash (WU/MoneyGram/ACE/Taptap)</t>
  </si>
  <si>
    <t xml:space="preserve">WORKS but compliance-grey for client fees</t>
  </si>
  <si>
    <t xml:space="preserve">~0.7% ATM cash-out; +2.5% govt incentive on remittance</t>
  </si>
  <si>
    <t xml:space="preserve">low</t>
  </si>
  <si>
    <t xml:space="preserve">ID per transfer</t>
  </si>
  <si>
    <t xml:space="preserve">minutes-hours</t>
  </si>
  <si>
    <t xml:space="preserve">Cheapest per-dollar; grey area for commercial receipts (FERA) — use for personal withdrawals, not client invoicing</t>
  </si>
  <si>
    <t xml:space="preserve">Med (E2/E3)</t>
  </si>
  <si>
    <t xml:space="preserve">Google AdSense</t>
  </si>
  <si>
    <t xml:space="preserve">BROKEN</t>
  </si>
  <si>
    <t xml:space="preserve">-</t>
  </si>
  <si>
    <t xml:space="preserve">BD = wire-to-bank only; WU Quick Cash dead</t>
  </si>
  <si>
    <t xml:space="preserve">Stripe / PayPal / Gumroad / Ko-fi / BMC / Patreon / Payhip / LemonSqueezy</t>
  </si>
  <si>
    <t xml:space="preserve">All require BD bank or Stripe/PayPal payout country</t>
  </si>
  <si>
    <t xml:space="preserve">Telegram channel ads rev-share (&gt;=1k subs, 50%)</t>
  </si>
  <si>
    <t xml:space="preserve">UNVERIFIED for BD</t>
  </si>
  <si>
    <t xml:space="preserve">50% share</t>
  </si>
  <si>
    <t xml:space="preserve">Check in-app toggle; AdsGram is the fallback</t>
  </si>
  <si>
    <t xml:space="preserve">Low (E3)</t>
  </si>
  <si>
    <t xml:space="preserve">Bangladesh Bank legal note</t>
  </si>
  <si>
    <t xml:space="preserve">CONSTRAINT</t>
  </si>
  <si>
    <t xml:space="preserve">Crypto = grey zone (FERA 1947); practical risk = MFS freezes, not prosecution; keep P2P credits small &amp; irregular</t>
  </si>
  <si>
    <t xml:space="preserve">Full ledger with sources: research/payments.md. Strategy: start Stars + crypto (zero-setup), graduate to Paddle-&gt;Payoneer at scale for card-paying customers.</t>
  </si>
  <si>
    <t xml:space="preserve">$0 Infrastructure Stack — verified limits 2026-09-02</t>
  </si>
  <si>
    <t xml:space="preserve">Service</t>
  </si>
  <si>
    <t xml:space="preserve">Free-tier allowance</t>
  </si>
  <si>
    <t xml:space="preserve">Hard gotcha</t>
  </si>
  <si>
    <t xml:space="preserve">Role in FRAZIYM</t>
  </si>
  <si>
    <t xml:space="preserve">Cloudflare Workers</t>
  </si>
  <si>
    <t xml:space="preserve">100k req/day, 10ms CPU</t>
  </si>
  <si>
    <t xml:space="preserve">CPU-time cap kills heavy compute; offload to client WASM</t>
  </si>
  <si>
    <t xml:space="preserve">API gateway + router + bots</t>
  </si>
  <si>
    <t xml:space="preserve">Cloudflare Pages</t>
  </si>
  <si>
    <t xml:space="preserve">unlimited bandwidth, 500 builds/mo</t>
  </si>
  <si>
    <t xml:space="preserve">—</t>
  </si>
  <si>
    <t xml:space="preserve">all static tool frontends</t>
  </si>
  <si>
    <t xml:space="preserve">Cloudflare D1</t>
  </si>
  <si>
    <t xml:space="preserve">5M reads/day, 100k writes/day, 5GB</t>
  </si>
  <si>
    <t xml:space="preserve">writes capped — batch/analytics offload</t>
  </si>
  <si>
    <t xml:space="preserve">users, usage ledger, tool registry</t>
  </si>
  <si>
    <t xml:space="preserve">Cloudflare R2</t>
  </si>
  <si>
    <t xml:space="preserve">10GB storage, 1M A/10M B ops, $0 egress</t>
  </si>
  <si>
    <t xml:space="preserve">file staging for server-side jobs</t>
  </si>
  <si>
    <t xml:space="preserve">Cloudflare Queues + Cron</t>
  </si>
  <si>
    <t xml:space="preserve">Queues 10k ops/day (Feb 2026 change); Cron reliable</t>
  </si>
  <si>
    <t xml:space="preserve">async jobs + schedulers</t>
  </si>
  <si>
    <t xml:space="preserve">Cloudflare KV</t>
  </si>
  <si>
    <t xml:space="preserve">1k writes/day</t>
  </si>
  <si>
    <t xml:space="preserve">low-write only</t>
  </si>
  <si>
    <t xml:space="preserve">config/cache</t>
  </si>
  <si>
    <t xml:space="preserve">Turso / Neon</t>
  </si>
  <si>
    <t xml:space="preserve">Turso 500M reads/10M writes/5GB; Neon 100 CU-hr + 5-min autosuspend</t>
  </si>
  <si>
    <t xml:space="preserve">Neon autosuspend = cold starts; heartbeat cron mandatory</t>
  </si>
  <si>
    <t xml:space="preserve">DB depth beyond D1</t>
  </si>
  <si>
    <t xml:space="preserve">Supabase</t>
  </si>
  <si>
    <t xml:space="preserve">2 projects, 500MB</t>
  </si>
  <si>
    <t xml:space="preserve">PAUSES after 7 days idle</t>
  </si>
  <si>
    <t xml:space="preserve">avoid as primary</t>
  </si>
  <si>
    <t xml:space="preserve">GitHub</t>
  </si>
  <si>
    <t xml:space="preserve">Actions 2,000 min/mo private (unlimited public); scheduled workflows BEST-EFFORT (60-day disable)</t>
  </si>
  <si>
    <t xml:space="preserve">never rely on GH cron for revenue jobs</t>
  </si>
  <si>
    <t xml:space="preserve">CI, OSS repo trust, Pages mirror</t>
  </si>
  <si>
    <t xml:space="preserve">Vercel Hobby</t>
  </si>
  <si>
    <t xml:space="preserve">100GB, 1M invocations</t>
  </si>
  <si>
    <t xml:space="preserve">NON-COMMERCIAL terms; cron max 1/day</t>
  </si>
  <si>
    <t xml:space="preserve">avoid for the product itself</t>
  </si>
  <si>
    <t xml:space="preserve">Netlify</t>
  </si>
  <si>
    <t xml:space="preserve">300 credits (~15GB) hard cap</t>
  </si>
  <si>
    <t xml:space="preserve">downgraded free tier</t>
  </si>
  <si>
    <t xml:space="preserve">dropped from stack</t>
  </si>
  <si>
    <t xml:space="preserve">Resend + Brevo (email)</t>
  </si>
  <si>
    <t xml:space="preserve">Resend 100/day + 3,000/mo; Brevo 300/day</t>
  </si>
  <si>
    <t xml:space="preserve">custom domain required for deliverability</t>
  </si>
  <si>
    <t xml:space="preserve">transactional email dual-rail</t>
  </si>
  <si>
    <t xml:space="preserve">cron-job.org / QStash / healthchecks.io</t>
  </si>
  <si>
    <t xml:space="preserve">unlimited jobs @1-min / 1,000 msgs/day / 20 monitors</t>
  </si>
  <si>
    <t xml:space="preserve">external schedulers + dead-man watchdog</t>
  </si>
  <si>
    <t xml:space="preserve">UptimeRobot / Better Stack</t>
  </si>
  <si>
    <t xml:space="preserve">50 monitors x 5min (non-commercial wording) / 10</t>
  </si>
  <si>
    <t xml:space="preserve">monitoring</t>
  </si>
  <si>
    <t xml:space="preserve">Clerk / Auth0 / Supabase Auth</t>
  </si>
  <si>
    <t xml:space="preserve">10k MAU / 25k MAU / 50k MAU</t>
  </si>
  <si>
    <t xml:space="preserve">Clerk 10k claim unverified</t>
  </si>
  <si>
    <t xml:space="preserve">auth at launch = Telegram + magic link</t>
  </si>
  <si>
    <t xml:space="preserve">Cloudflare Web Analytics / PostHog</t>
  </si>
  <si>
    <t xml:space="preserve">free / 1M events/mo</t>
  </si>
  <si>
    <t xml:space="preserve">funnel analytics</t>
  </si>
  <si>
    <t xml:space="preserve">Domains</t>
  </si>
  <si>
    <t xml:space="preserve">DigitalPlat free (.dpdns.org/.us.kg); .xyz/.top $1-2 yr-1</t>
  </si>
  <si>
    <t xml:space="preserve">custom domain REQUIRED for email/OAuth trust</t>
  </si>
  <si>
    <t xml:space="preserve">root domain + API subdomain</t>
  </si>
  <si>
    <t xml:space="preserve">Full 16-section verification with sources: research/infra.md. Architecture rule: anchor on Cloudflare; treat every free tier as disposable (failover-ready).</t>
  </si>
  <si>
    <t xml:space="preserve">Free AI Inference Providers — gateway design inputs 2026-09-02</t>
  </si>
  <si>
    <t xml:space="preserve">Provider</t>
  </si>
  <si>
    <t xml:space="preserve">Free allowance (verified)</t>
  </si>
  <si>
    <t xml:space="preserve">Card needed</t>
  </si>
  <si>
    <t xml:space="preserve">ToS / data notes</t>
  </si>
  <si>
    <t xml:space="preserve">Role in router</t>
  </si>
  <si>
    <t xml:space="preserve">Groq</t>
  </si>
  <si>
    <t xml:space="preserve">30 RPM / 1K RPD / 8K TPM (gpt-oss + qwen); Whisper 2K RPD &amp; 28.8k audio-sec/day</t>
  </si>
  <si>
    <t xml:space="preserve">No</t>
  </si>
  <si>
    <t xml:space="preserve">cached tokens excluded from limits</t>
  </si>
  <si>
    <t xml:space="preserve">PRIMARY anchor (speed + STT)</t>
  </si>
  <si>
    <t xml:space="preserve">OpenRouter :free</t>
  </si>
  <si>
    <t xml:space="preserve">20 RPM, 50 RPD (1,000 RPD after $10 credit purchase)</t>
  </si>
  <si>
    <t xml:space="preserve">free models = data-training pool</t>
  </si>
  <si>
    <t xml:space="preserve">SECONDARY + model variety</t>
  </si>
  <si>
    <t xml:space="preserve">Cloudflare Workers AI</t>
  </si>
  <si>
    <t xml:space="preserve">10,000 Neurons/day</t>
  </si>
  <si>
    <t xml:space="preserve">same stack as product = one bill, zero</t>
  </si>
  <si>
    <t xml:space="preserve">TERTIARY + embedding/small tasks</t>
  </si>
  <si>
    <t xml:space="preserve">SambaNova</t>
  </si>
  <si>
    <t xml:space="preserve">20 RPM / 20 RPD / 200K TPD</t>
  </si>
  <si>
    <t xml:space="preserve">failover</t>
  </si>
  <si>
    <t xml:space="preserve">Mistral La Plateforme</t>
  </si>
  <si>
    <t xml:space="preserve">free tier exists (rate-limited)</t>
  </si>
  <si>
    <t xml:space="preserve">Phone verify</t>
  </si>
  <si>
    <t xml:space="preserve">Cohere</t>
  </si>
  <si>
    <t xml:space="preserve">trial 1,000 calls/mo @20 RPM</t>
  </si>
  <si>
    <t xml:space="preserve">trial key only</t>
  </si>
  <si>
    <t xml:space="preserve">embed/rank niche</t>
  </si>
  <si>
    <t xml:space="preserve">Gemini (AI Studio)</t>
  </si>
  <si>
    <t xml:space="preserve">free tier exists but ~20 RPD (Dec 2025 slash; no public table)</t>
  </si>
  <si>
    <t xml:space="preserve">DATA USED FOR TRAINING = YES</t>
  </si>
  <si>
    <t xml:space="preserve">last-resort only</t>
  </si>
  <si>
    <t xml:space="preserve">Hugging Face Inference</t>
  </si>
  <si>
    <t xml:space="preserve">~$0.10/mo free credits</t>
  </si>
  <si>
    <t xml:space="preserve">drop from router</t>
  </si>
  <si>
    <t xml:space="preserve">Cerebras / Together / GitHub Models</t>
  </si>
  <si>
    <t xml:space="preserve">ALL free tiers RETIRED (2025-07/2026-02/2026-07)</t>
  </si>
  <si>
    <t xml:space="preserve">removed</t>
  </si>
  <si>
    <t xml:space="preserve">Local (llama.cpp on Termux)</t>
  </si>
  <si>
    <t xml:space="preserve">0-cost, device-bound</t>
  </si>
  <si>
    <t xml:space="preserve">offline dev-time fallback only</t>
  </si>
  <si>
    <t xml:space="preserve">Router policy: validate -&gt; deterministic first -&gt; cache -&gt; small/local model -&gt; free-cloud failover -&gt; validate again. Pooled capacity ≈ 500-2,000 AI req/day at $0. Single account per provider (multi-accounting prohibited). Sources: research/ai-providers.md.</t>
  </si>
  <si>
    <t xml:space="preserve">Cross-Validation (live checks)</t>
  </si>
  <si>
    <t xml:space="preserve">Check</t>
  </si>
  <si>
    <t xml:space="preserve">Expected</t>
  </si>
  <si>
    <t xml:space="preserve">Actual</t>
  </si>
  <si>
    <t xml:space="preserve">Status</t>
  </si>
  <si>
    <t xml:space="preserve">Opportunities row count</t>
  </si>
  <si>
    <t xml:space="preserve">Top 50 row count</t>
  </si>
  <si>
    <t xml:space="preserve">Clusters tool sum</t>
  </si>
  <si>
    <t xml:space="preserve">Scenario B MRR ($)</t>
  </si>
  <si>
    <t xml:space="preserve">LTV+PRO+HOOK+GLUE sum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</si>
</sst>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2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WenQuanYi Zen Hei"/>
      <family val="2"/>
      <charset val="1"/>
    </font>
    <font>
      <sz val="11"/>
      <color rgb="FF1B2A4A"/>
      <name val="Noto Sans CJK SC"/>
      <family val="0"/>
      <charset val="1"/>
    </font>
    <font>
      <sz val="9"/>
      <color rgb="FF8C8A84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EDA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8" min="3" style="1" width="22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5" customFormat="false" ht="45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</row>
    <row r="7" customFormat="false" ht="24" hidden="false" customHeight="true" outlineLevel="0" collapsed="false">
      <c r="B7" s="3" t="s">
        <v>3</v>
      </c>
      <c r="C7" s="3"/>
      <c r="D7" s="3"/>
      <c r="E7" s="3"/>
      <c r="F7" s="3"/>
      <c r="G7" s="3"/>
      <c r="H7" s="3"/>
    </row>
    <row r="8" customFormat="false" ht="45.75" hidden="false" customHeight="true" outlineLevel="0" collapsed="false">
      <c r="B8" s="4" t="s">
        <v>4</v>
      </c>
      <c r="C8" s="4"/>
      <c r="D8" s="4"/>
      <c r="E8" s="4"/>
      <c r="F8" s="4"/>
      <c r="G8" s="4"/>
      <c r="H8" s="4"/>
    </row>
    <row r="10" customFormat="false" ht="24" hidden="false" customHeight="true" outlineLevel="0" collapsed="false">
      <c r="B10" s="3" t="s">
        <v>5</v>
      </c>
      <c r="C10" s="3"/>
      <c r="D10" s="3"/>
      <c r="E10" s="3"/>
      <c r="F10" s="3"/>
      <c r="G10" s="3"/>
      <c r="H10" s="3"/>
    </row>
    <row r="11" customFormat="false" ht="45.75" hidden="false" customHeight="true" outlineLevel="0" collapsed="false">
      <c r="B11" s="4" t="s">
        <v>6</v>
      </c>
      <c r="C11" s="4"/>
      <c r="D11" s="4"/>
      <c r="E11" s="4"/>
      <c r="F11" s="4"/>
      <c r="G11" s="4"/>
      <c r="H11" s="4"/>
    </row>
    <row r="13" customFormat="false" ht="24" hidden="false" customHeight="true" outlineLevel="0" collapsed="false">
      <c r="B13" s="3" t="s">
        <v>7</v>
      </c>
      <c r="C13" s="3"/>
      <c r="D13" s="3"/>
      <c r="E13" s="3"/>
      <c r="F13" s="3"/>
      <c r="G13" s="3"/>
      <c r="H13" s="3"/>
    </row>
    <row r="14" customFormat="false" ht="45.75" hidden="false" customHeight="true" outlineLevel="0" collapsed="false">
      <c r="B14" s="4" t="s">
        <v>8</v>
      </c>
      <c r="C14" s="4"/>
      <c r="D14" s="4"/>
      <c r="E14" s="4"/>
      <c r="F14" s="4"/>
      <c r="G14" s="4"/>
      <c r="H14" s="4"/>
    </row>
    <row r="16" customFormat="false" ht="24" hidden="false" customHeight="true" outlineLevel="0" collapsed="false">
      <c r="B16" s="3" t="s">
        <v>9</v>
      </c>
      <c r="C16" s="3"/>
      <c r="D16" s="3"/>
      <c r="E16" s="3"/>
      <c r="F16" s="3"/>
      <c r="G16" s="3"/>
      <c r="H16" s="3"/>
    </row>
    <row r="17" customFormat="false" ht="45.75" hidden="false" customHeight="true" outlineLevel="0" collapsed="false">
      <c r="B17" s="4" t="s">
        <v>10</v>
      </c>
      <c r="C17" s="4"/>
      <c r="D17" s="4"/>
      <c r="E17" s="4"/>
      <c r="F17" s="4"/>
      <c r="G17" s="4"/>
      <c r="H17" s="4"/>
    </row>
    <row r="19" customFormat="false" ht="24" hidden="false" customHeight="true" outlineLevel="0" collapsed="false">
      <c r="B19" s="3" t="s">
        <v>11</v>
      </c>
      <c r="C19" s="3"/>
      <c r="D19" s="3"/>
      <c r="E19" s="3"/>
      <c r="F19" s="3"/>
      <c r="G19" s="3"/>
      <c r="H19" s="3"/>
    </row>
    <row r="20" customFormat="false" ht="45.75" hidden="false" customHeight="true" outlineLevel="0" collapsed="false">
      <c r="B20" s="4" t="s">
        <v>12</v>
      </c>
      <c r="C20" s="4"/>
      <c r="D20" s="4"/>
      <c r="E20" s="4"/>
      <c r="F20" s="4"/>
      <c r="G20" s="4"/>
      <c r="H20" s="4"/>
    </row>
    <row r="22" customFormat="false" ht="24" hidden="false" customHeight="true" outlineLevel="0" collapsed="false">
      <c r="B22" s="3" t="s">
        <v>13</v>
      </c>
      <c r="C22" s="3"/>
      <c r="D22" s="3"/>
      <c r="E22" s="3"/>
      <c r="F22" s="3"/>
      <c r="G22" s="3"/>
      <c r="H22" s="3"/>
    </row>
    <row r="23" customFormat="false" ht="45.75" hidden="false" customHeight="true" outlineLevel="0" collapsed="false">
      <c r="B23" s="4" t="s">
        <v>14</v>
      </c>
      <c r="C23" s="4"/>
      <c r="D23" s="4"/>
      <c r="E23" s="4"/>
      <c r="F23" s="4"/>
      <c r="G23" s="4"/>
      <c r="H23" s="4"/>
    </row>
    <row r="25" customFormat="false" ht="24" hidden="false" customHeight="true" outlineLevel="0" collapsed="false">
      <c r="B25" s="3" t="s">
        <v>15</v>
      </c>
      <c r="C25" s="3"/>
      <c r="D25" s="3"/>
      <c r="E25" s="3"/>
      <c r="F25" s="3"/>
      <c r="G25" s="3"/>
      <c r="H25" s="3"/>
    </row>
    <row r="26" customFormat="false" ht="45.75" hidden="false" customHeight="true" outlineLevel="0" collapsed="false">
      <c r="B26" s="4" t="s">
        <v>16</v>
      </c>
      <c r="C26" s="4"/>
      <c r="D26" s="4"/>
      <c r="E26" s="4"/>
      <c r="F26" s="4"/>
      <c r="G26" s="4"/>
      <c r="H26" s="4"/>
    </row>
    <row r="28" customFormat="false" ht="24" hidden="false" customHeight="true" outlineLevel="0" collapsed="false">
      <c r="B28" s="3" t="s">
        <v>17</v>
      </c>
      <c r="C28" s="3"/>
      <c r="D28" s="3"/>
      <c r="E28" s="3"/>
      <c r="F28" s="3"/>
      <c r="G28" s="3"/>
      <c r="H28" s="3"/>
    </row>
    <row r="29" customFormat="false" ht="45.75" hidden="false" customHeight="true" outlineLevel="0" collapsed="false">
      <c r="B29" s="4" t="s">
        <v>18</v>
      </c>
      <c r="C29" s="4"/>
      <c r="D29" s="4"/>
      <c r="E29" s="4"/>
      <c r="F29" s="4"/>
      <c r="G29" s="4"/>
      <c r="H29" s="4"/>
    </row>
    <row r="31" customFormat="false" ht="15" hidden="false" customHeight="true" outlineLevel="0" collapsed="false">
      <c r="B31" s="5" t="s">
        <v>19</v>
      </c>
      <c r="C31" s="5"/>
      <c r="D31" s="5"/>
      <c r="E31" s="5"/>
      <c r="F31" s="5"/>
      <c r="G31" s="5"/>
      <c r="H31" s="5"/>
    </row>
  </sheetData>
  <mergeCells count="20">
    <mergeCell ref="B2:H2"/>
    <mergeCell ref="B4:H4"/>
    <mergeCell ref="B5:H5"/>
    <mergeCell ref="B7:H7"/>
    <mergeCell ref="B8:H8"/>
    <mergeCell ref="B10:H10"/>
    <mergeCell ref="B11:H11"/>
    <mergeCell ref="B13:H13"/>
    <mergeCell ref="B14:H14"/>
    <mergeCell ref="B16:H16"/>
    <mergeCell ref="B17:H17"/>
    <mergeCell ref="B19:H19"/>
    <mergeCell ref="B20:H20"/>
    <mergeCell ref="B22:H22"/>
    <mergeCell ref="B23:H23"/>
    <mergeCell ref="B25:H25"/>
    <mergeCell ref="B26:H26"/>
    <mergeCell ref="B28:H28"/>
    <mergeCell ref="B29:H29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5"/>
    <col collapsed="false" customWidth="true" hidden="false" outlineLevel="0" max="4" min="4" style="1" width="38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8"/>
    <col collapsed="false" customWidth="true" hidden="false" outlineLevel="0" max="11" min="10" style="1" width="7"/>
    <col collapsed="false" customWidth="true" hidden="false" outlineLevel="0" max="12" min="12" style="1" width="11"/>
    <col collapsed="false" customWidth="true" hidden="false" outlineLevel="0" max="14" min="13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6"/>
    <col collapsed="false" customWidth="true" hidden="false" outlineLevel="0" max="20" min="18" style="1" width="7"/>
    <col collapsed="false" customWidth="true" hidden="false" outlineLevel="0" max="21" min="21" style="1" width="8"/>
    <col collapsed="false" customWidth="true" hidden="false" outlineLevel="0" max="22" min="22" style="1" width="9"/>
    <col collapsed="false" customWidth="true" hidden="false" outlineLevel="0" max="23" min="23" style="1" width="5"/>
    <col collapsed="false" customWidth="true" hidden="false" outlineLevel="0" max="24" min="24" style="1" width="26"/>
    <col collapsed="false" customWidth="true" hidden="false" outlineLevel="0" max="25" min="25" style="1" width="60"/>
  </cols>
  <sheetData>
    <row r="2" customFormat="false" ht="31.5" hidden="false" customHeight="true" outlineLevel="0" collapsed="false"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  <c r="R4" s="6" t="s">
        <v>37</v>
      </c>
      <c r="S4" s="6" t="s">
        <v>38</v>
      </c>
      <c r="T4" s="6" t="s">
        <v>39</v>
      </c>
      <c r="U4" s="6" t="s">
        <v>40</v>
      </c>
      <c r="V4" s="6" t="s">
        <v>41</v>
      </c>
      <c r="W4" s="6" t="s">
        <v>42</v>
      </c>
      <c r="X4" s="6" t="s">
        <v>43</v>
      </c>
      <c r="Y4" s="6" t="s">
        <v>44</v>
      </c>
    </row>
    <row r="5" customFormat="false" ht="21.75" hidden="false" customHeight="true" outlineLevel="0" collapsed="false">
      <c r="B5" s="7" t="n">
        <v>1</v>
      </c>
      <c r="C5" s="7" t="s">
        <v>45</v>
      </c>
      <c r="D5" s="7" t="s">
        <v>46</v>
      </c>
      <c r="E5" s="7" t="s">
        <v>47</v>
      </c>
      <c r="F5" s="7" t="s">
        <v>48</v>
      </c>
      <c r="G5" s="7" t="s">
        <v>49</v>
      </c>
      <c r="H5" s="7" t="n">
        <v>8.2</v>
      </c>
      <c r="I5" s="7" t="n">
        <v>9</v>
      </c>
      <c r="J5" s="7" t="n">
        <v>7</v>
      </c>
      <c r="K5" s="7" t="n">
        <v>9</v>
      </c>
      <c r="L5" s="7" t="n">
        <v>10</v>
      </c>
      <c r="M5" s="7" t="n">
        <v>6</v>
      </c>
      <c r="N5" s="7" t="n">
        <v>9</v>
      </c>
      <c r="O5" s="7" t="n">
        <v>4.5</v>
      </c>
      <c r="P5" s="7" t="n">
        <v>9.5</v>
      </c>
      <c r="Q5" s="7" t="n">
        <v>9</v>
      </c>
      <c r="R5" s="7" t="n">
        <v>6</v>
      </c>
      <c r="S5" s="8" t="s">
        <v>50</v>
      </c>
      <c r="T5" s="8" t="s">
        <v>51</v>
      </c>
      <c r="U5" s="7" t="n">
        <v>10</v>
      </c>
      <c r="V5" s="7" t="n">
        <v>10</v>
      </c>
      <c r="W5" s="8" t="s">
        <v>52</v>
      </c>
      <c r="X5" s="8"/>
      <c r="Y5" s="8" t="s">
        <v>46</v>
      </c>
    </row>
    <row r="6" customFormat="false" ht="21.75" hidden="false" customHeight="true" outlineLevel="0" collapsed="false">
      <c r="B6" s="9" t="n">
        <v>2</v>
      </c>
      <c r="C6" s="9" t="s">
        <v>53</v>
      </c>
      <c r="D6" s="9" t="s">
        <v>54</v>
      </c>
      <c r="E6" s="9" t="s">
        <v>47</v>
      </c>
      <c r="F6" s="9" t="s">
        <v>48</v>
      </c>
      <c r="G6" s="9" t="s">
        <v>49</v>
      </c>
      <c r="H6" s="9" t="n">
        <v>8.03</v>
      </c>
      <c r="I6" s="9" t="n">
        <v>8.5</v>
      </c>
      <c r="J6" s="9" t="n">
        <v>9.5</v>
      </c>
      <c r="K6" s="9" t="n">
        <v>7</v>
      </c>
      <c r="L6" s="9" t="n">
        <v>8.5</v>
      </c>
      <c r="M6" s="9" t="n">
        <v>9</v>
      </c>
      <c r="N6" s="9" t="n">
        <v>7</v>
      </c>
      <c r="O6" s="9" t="n">
        <v>6</v>
      </c>
      <c r="P6" s="9" t="n">
        <v>6.5</v>
      </c>
      <c r="Q6" s="9" t="n">
        <v>8</v>
      </c>
      <c r="R6" s="9" t="n">
        <v>6</v>
      </c>
      <c r="S6" s="10" t="s">
        <v>55</v>
      </c>
      <c r="T6" s="10" t="s">
        <v>56</v>
      </c>
      <c r="U6" s="9" t="n">
        <v>40</v>
      </c>
      <c r="V6" s="9" t="n">
        <v>45</v>
      </c>
      <c r="W6" s="10" t="s">
        <v>57</v>
      </c>
      <c r="X6" s="10"/>
      <c r="Y6" s="10" t="s">
        <v>58</v>
      </c>
    </row>
    <row r="7" customFormat="false" ht="21.75" hidden="false" customHeight="true" outlineLevel="0" collapsed="false">
      <c r="B7" s="7" t="n">
        <v>3</v>
      </c>
      <c r="C7" s="7" t="s">
        <v>59</v>
      </c>
      <c r="D7" s="7" t="s">
        <v>60</v>
      </c>
      <c r="E7" s="7" t="s">
        <v>47</v>
      </c>
      <c r="F7" s="7" t="s">
        <v>48</v>
      </c>
      <c r="G7" s="7" t="s">
        <v>61</v>
      </c>
      <c r="H7" s="7" t="n">
        <v>7.75</v>
      </c>
      <c r="I7" s="7" t="n">
        <v>9</v>
      </c>
      <c r="J7" s="7" t="n">
        <v>8</v>
      </c>
      <c r="K7" s="7" t="n">
        <v>5</v>
      </c>
      <c r="L7" s="7" t="n">
        <v>9</v>
      </c>
      <c r="M7" s="7" t="n">
        <v>7</v>
      </c>
      <c r="N7" s="7" t="n">
        <v>9</v>
      </c>
      <c r="O7" s="7" t="n">
        <v>6</v>
      </c>
      <c r="P7" s="7" t="n">
        <v>7</v>
      </c>
      <c r="Q7" s="7" t="n">
        <v>8</v>
      </c>
      <c r="R7" s="7" t="n">
        <v>5</v>
      </c>
      <c r="S7" s="8" t="s">
        <v>55</v>
      </c>
      <c r="T7" s="8" t="s">
        <v>56</v>
      </c>
      <c r="U7" s="7" t="n">
        <v>40</v>
      </c>
      <c r="V7" s="7" t="n">
        <v>10</v>
      </c>
      <c r="W7" s="8" t="s">
        <v>52</v>
      </c>
      <c r="X7" s="8" t="s">
        <v>62</v>
      </c>
      <c r="Y7" s="8" t="s">
        <v>63</v>
      </c>
    </row>
    <row r="8" customFormat="false" ht="21.75" hidden="false" customHeight="true" outlineLevel="0" collapsed="false">
      <c r="B8" s="9" t="n">
        <v>4</v>
      </c>
      <c r="C8" s="9" t="s">
        <v>64</v>
      </c>
      <c r="D8" s="9" t="s">
        <v>65</v>
      </c>
      <c r="E8" s="9" t="s">
        <v>47</v>
      </c>
      <c r="F8" s="9" t="s">
        <v>48</v>
      </c>
      <c r="G8" s="9" t="s">
        <v>49</v>
      </c>
      <c r="H8" s="9" t="n">
        <v>7.67</v>
      </c>
      <c r="I8" s="9" t="n">
        <v>9</v>
      </c>
      <c r="J8" s="9" t="n">
        <v>8</v>
      </c>
      <c r="K8" s="9" t="n">
        <v>7</v>
      </c>
      <c r="L8" s="9" t="n">
        <v>8.5</v>
      </c>
      <c r="M8" s="9" t="n">
        <v>5</v>
      </c>
      <c r="N8" s="9" t="n">
        <v>8</v>
      </c>
      <c r="O8" s="9" t="n">
        <v>3.5</v>
      </c>
      <c r="P8" s="9" t="n">
        <v>9.5</v>
      </c>
      <c r="Q8" s="9" t="n">
        <v>10</v>
      </c>
      <c r="R8" s="9" t="n">
        <v>5</v>
      </c>
      <c r="S8" s="10" t="s">
        <v>50</v>
      </c>
      <c r="T8" s="10" t="s">
        <v>51</v>
      </c>
      <c r="U8" s="9" t="n">
        <v>12</v>
      </c>
      <c r="V8" s="9" t="n">
        <v>10</v>
      </c>
      <c r="W8" s="10" t="s">
        <v>52</v>
      </c>
      <c r="X8" s="10"/>
      <c r="Y8" s="10" t="s">
        <v>66</v>
      </c>
    </row>
    <row r="9" customFormat="false" ht="21.75" hidden="false" customHeight="true" outlineLevel="0" collapsed="false">
      <c r="B9" s="7" t="n">
        <v>5</v>
      </c>
      <c r="C9" s="7" t="s">
        <v>67</v>
      </c>
      <c r="D9" s="7" t="s">
        <v>68</v>
      </c>
      <c r="E9" s="7" t="s">
        <v>47</v>
      </c>
      <c r="F9" s="7" t="s">
        <v>48</v>
      </c>
      <c r="G9" s="7" t="s">
        <v>49</v>
      </c>
      <c r="H9" s="7" t="n">
        <v>7.62</v>
      </c>
      <c r="I9" s="7" t="n">
        <v>9</v>
      </c>
      <c r="J9" s="7" t="n">
        <v>8.5</v>
      </c>
      <c r="K9" s="7" t="n">
        <v>7</v>
      </c>
      <c r="L9" s="7" t="n">
        <v>8.5</v>
      </c>
      <c r="M9" s="7" t="n">
        <v>5</v>
      </c>
      <c r="N9" s="7" t="n">
        <v>9</v>
      </c>
      <c r="O9" s="7" t="n">
        <v>3.5</v>
      </c>
      <c r="P9" s="7" t="n">
        <v>9.5</v>
      </c>
      <c r="Q9" s="7" t="n">
        <v>4.5</v>
      </c>
      <c r="R9" s="7" t="n">
        <v>6</v>
      </c>
      <c r="S9" s="8" t="s">
        <v>50</v>
      </c>
      <c r="T9" s="8" t="s">
        <v>51</v>
      </c>
      <c r="U9" s="7" t="n">
        <v>12</v>
      </c>
      <c r="V9" s="7" t="n">
        <v>10</v>
      </c>
      <c r="W9" s="8" t="s">
        <v>52</v>
      </c>
      <c r="X9" s="8"/>
      <c r="Y9" s="8" t="s">
        <v>69</v>
      </c>
    </row>
    <row r="10" customFormat="false" ht="21.75" hidden="false" customHeight="true" outlineLevel="0" collapsed="false">
      <c r="B10" s="9" t="n">
        <v>6</v>
      </c>
      <c r="C10" s="9" t="s">
        <v>70</v>
      </c>
      <c r="D10" s="9" t="s">
        <v>71</v>
      </c>
      <c r="E10" s="9" t="s">
        <v>47</v>
      </c>
      <c r="F10" s="9" t="s">
        <v>48</v>
      </c>
      <c r="G10" s="9" t="s">
        <v>49</v>
      </c>
      <c r="H10" s="9" t="n">
        <v>7.6</v>
      </c>
      <c r="I10" s="9" t="n">
        <v>8</v>
      </c>
      <c r="J10" s="9" t="n">
        <v>8</v>
      </c>
      <c r="K10" s="9" t="n">
        <v>9</v>
      </c>
      <c r="L10" s="9" t="n">
        <v>8.5</v>
      </c>
      <c r="M10" s="9" t="n">
        <v>7.5</v>
      </c>
      <c r="N10" s="9" t="n">
        <v>7</v>
      </c>
      <c r="O10" s="9" t="n">
        <v>6.5</v>
      </c>
      <c r="P10" s="9" t="n">
        <v>6</v>
      </c>
      <c r="Q10" s="9" t="n">
        <v>7</v>
      </c>
      <c r="R10" s="9" t="n">
        <v>4</v>
      </c>
      <c r="S10" s="10" t="s">
        <v>55</v>
      </c>
      <c r="T10" s="10" t="s">
        <v>72</v>
      </c>
      <c r="U10" s="9" t="n">
        <v>40</v>
      </c>
      <c r="V10" s="9" t="n">
        <v>45</v>
      </c>
      <c r="W10" s="10" t="s">
        <v>57</v>
      </c>
      <c r="X10" s="10"/>
      <c r="Y10" s="10" t="s">
        <v>73</v>
      </c>
    </row>
    <row r="11" customFormat="false" ht="21.75" hidden="false" customHeight="true" outlineLevel="0" collapsed="false">
      <c r="B11" s="7" t="n">
        <v>7</v>
      </c>
      <c r="C11" s="7" t="s">
        <v>74</v>
      </c>
      <c r="D11" s="7" t="s">
        <v>75</v>
      </c>
      <c r="E11" s="7" t="s">
        <v>76</v>
      </c>
      <c r="F11" s="7" t="s">
        <v>77</v>
      </c>
      <c r="G11" s="7" t="s">
        <v>49</v>
      </c>
      <c r="H11" s="7" t="n">
        <v>7.6</v>
      </c>
      <c r="I11" s="7" t="n">
        <v>8</v>
      </c>
      <c r="J11" s="7" t="n">
        <v>9.5</v>
      </c>
      <c r="K11" s="7" t="n">
        <v>6</v>
      </c>
      <c r="L11" s="7" t="n">
        <v>6.5</v>
      </c>
      <c r="M11" s="7" t="n">
        <v>7.5</v>
      </c>
      <c r="N11" s="7" t="n">
        <v>8</v>
      </c>
      <c r="O11" s="7" t="n">
        <v>9</v>
      </c>
      <c r="P11" s="7" t="n">
        <v>6</v>
      </c>
      <c r="Q11" s="7" t="n">
        <v>7</v>
      </c>
      <c r="R11" s="7" t="n">
        <v>7</v>
      </c>
      <c r="S11" s="8" t="s">
        <v>55</v>
      </c>
      <c r="T11" s="8" t="s">
        <v>72</v>
      </c>
      <c r="U11" s="7" t="n">
        <v>36</v>
      </c>
      <c r="V11" s="7" t="n">
        <v>30</v>
      </c>
      <c r="W11" s="8" t="s">
        <v>52</v>
      </c>
      <c r="X11" s="8"/>
      <c r="Y11" s="8" t="s">
        <v>78</v>
      </c>
    </row>
    <row r="12" customFormat="false" ht="21.75" hidden="false" customHeight="true" outlineLevel="0" collapsed="false">
      <c r="B12" s="9" t="n">
        <v>8</v>
      </c>
      <c r="C12" s="9" t="s">
        <v>79</v>
      </c>
      <c r="D12" s="9" t="s">
        <v>80</v>
      </c>
      <c r="E12" s="9" t="s">
        <v>47</v>
      </c>
      <c r="F12" s="9" t="s">
        <v>48</v>
      </c>
      <c r="G12" s="9" t="s">
        <v>61</v>
      </c>
      <c r="H12" s="9" t="n">
        <v>7.6</v>
      </c>
      <c r="I12" s="9" t="n">
        <v>8</v>
      </c>
      <c r="J12" s="9" t="n">
        <v>8</v>
      </c>
      <c r="K12" s="9" t="n">
        <v>5</v>
      </c>
      <c r="L12" s="9" t="n">
        <v>10</v>
      </c>
      <c r="M12" s="9" t="n">
        <v>6</v>
      </c>
      <c r="N12" s="9" t="n">
        <v>9</v>
      </c>
      <c r="O12" s="9" t="n">
        <v>5</v>
      </c>
      <c r="P12" s="9" t="n">
        <v>10</v>
      </c>
      <c r="Q12" s="9" t="n">
        <v>7</v>
      </c>
      <c r="R12" s="9" t="n">
        <v>4</v>
      </c>
      <c r="S12" s="10" t="s">
        <v>56</v>
      </c>
      <c r="T12" s="10" t="s">
        <v>56</v>
      </c>
      <c r="U12" s="9" t="n">
        <v>8</v>
      </c>
      <c r="V12" s="9" t="n">
        <v>10</v>
      </c>
      <c r="W12" s="10" t="s">
        <v>52</v>
      </c>
      <c r="X12" s="10" t="s">
        <v>81</v>
      </c>
      <c r="Y12" s="10" t="s">
        <v>82</v>
      </c>
    </row>
    <row r="13" customFormat="false" ht="21.75" hidden="false" customHeight="true" outlineLevel="0" collapsed="false">
      <c r="B13" s="7" t="n">
        <v>9</v>
      </c>
      <c r="C13" s="7" t="s">
        <v>83</v>
      </c>
      <c r="D13" s="7" t="s">
        <v>84</v>
      </c>
      <c r="E13" s="7" t="s">
        <v>47</v>
      </c>
      <c r="F13" s="7" t="s">
        <v>48</v>
      </c>
      <c r="G13" s="7" t="s">
        <v>61</v>
      </c>
      <c r="H13" s="7" t="n">
        <v>7.6</v>
      </c>
      <c r="I13" s="7" t="n">
        <v>8</v>
      </c>
      <c r="J13" s="7" t="n">
        <v>8</v>
      </c>
      <c r="K13" s="7" t="n">
        <v>6</v>
      </c>
      <c r="L13" s="7" t="n">
        <v>10</v>
      </c>
      <c r="M13" s="7" t="n">
        <v>5</v>
      </c>
      <c r="N13" s="7" t="n">
        <v>9</v>
      </c>
      <c r="O13" s="7" t="n">
        <v>5</v>
      </c>
      <c r="P13" s="7" t="n">
        <v>10</v>
      </c>
      <c r="Q13" s="7" t="n">
        <v>7</v>
      </c>
      <c r="R13" s="7" t="n">
        <v>4</v>
      </c>
      <c r="S13" s="8" t="s">
        <v>56</v>
      </c>
      <c r="T13" s="8" t="s">
        <v>56</v>
      </c>
      <c r="U13" s="7" t="n">
        <v>10</v>
      </c>
      <c r="V13" s="7" t="n">
        <v>10</v>
      </c>
      <c r="W13" s="8" t="s">
        <v>52</v>
      </c>
      <c r="X13" s="8" t="s">
        <v>85</v>
      </c>
      <c r="Y13" s="8" t="s">
        <v>86</v>
      </c>
    </row>
    <row r="14" customFormat="false" ht="21.75" hidden="false" customHeight="true" outlineLevel="0" collapsed="false">
      <c r="B14" s="9" t="n">
        <v>10</v>
      </c>
      <c r="C14" s="9" t="s">
        <v>87</v>
      </c>
      <c r="D14" s="9" t="s">
        <v>88</v>
      </c>
      <c r="E14" s="9" t="s">
        <v>89</v>
      </c>
      <c r="F14" s="9" t="s">
        <v>90</v>
      </c>
      <c r="G14" s="9" t="s">
        <v>49</v>
      </c>
      <c r="H14" s="9" t="n">
        <v>7.58</v>
      </c>
      <c r="I14" s="9" t="n">
        <v>6.5</v>
      </c>
      <c r="J14" s="9" t="n">
        <v>9</v>
      </c>
      <c r="K14" s="9" t="n">
        <v>7</v>
      </c>
      <c r="L14" s="9" t="n">
        <v>8.5</v>
      </c>
      <c r="M14" s="9" t="n">
        <v>8</v>
      </c>
      <c r="N14" s="9" t="n">
        <v>7</v>
      </c>
      <c r="O14" s="9" t="n">
        <v>9</v>
      </c>
      <c r="P14" s="9" t="n">
        <v>6</v>
      </c>
      <c r="Q14" s="9" t="n">
        <v>8</v>
      </c>
      <c r="R14" s="9" t="n">
        <v>6</v>
      </c>
      <c r="S14" s="10" t="s">
        <v>55</v>
      </c>
      <c r="T14" s="10" t="s">
        <v>56</v>
      </c>
      <c r="U14" s="9" t="n">
        <v>12</v>
      </c>
      <c r="V14" s="9" t="n">
        <v>10</v>
      </c>
      <c r="W14" s="10" t="s">
        <v>52</v>
      </c>
      <c r="X14" s="10"/>
      <c r="Y14" s="10" t="s">
        <v>91</v>
      </c>
    </row>
    <row r="15" customFormat="false" ht="21.75" hidden="false" customHeight="true" outlineLevel="0" collapsed="false">
      <c r="B15" s="7" t="n">
        <v>11</v>
      </c>
      <c r="C15" s="7" t="s">
        <v>92</v>
      </c>
      <c r="D15" s="7" t="s">
        <v>93</v>
      </c>
      <c r="E15" s="7" t="s">
        <v>94</v>
      </c>
      <c r="F15" s="7" t="s">
        <v>95</v>
      </c>
      <c r="G15" s="7" t="s">
        <v>49</v>
      </c>
      <c r="H15" s="7" t="n">
        <v>7.58</v>
      </c>
      <c r="I15" s="7" t="n">
        <v>7.5</v>
      </c>
      <c r="J15" s="7" t="n">
        <v>7</v>
      </c>
      <c r="K15" s="7" t="n">
        <v>7</v>
      </c>
      <c r="L15" s="7" t="n">
        <v>10</v>
      </c>
      <c r="M15" s="7" t="n">
        <v>6.5</v>
      </c>
      <c r="N15" s="7" t="n">
        <v>8</v>
      </c>
      <c r="O15" s="7" t="n">
        <v>6</v>
      </c>
      <c r="P15" s="7" t="n">
        <v>10</v>
      </c>
      <c r="Q15" s="7" t="n">
        <v>5.5</v>
      </c>
      <c r="R15" s="7" t="n">
        <v>6</v>
      </c>
      <c r="S15" s="8" t="s">
        <v>56</v>
      </c>
      <c r="T15" s="8" t="s">
        <v>56</v>
      </c>
      <c r="U15" s="7" t="n">
        <v>10</v>
      </c>
      <c r="V15" s="7" t="n">
        <v>10</v>
      </c>
      <c r="W15" s="8" t="s">
        <v>52</v>
      </c>
      <c r="X15" s="8" t="s">
        <v>96</v>
      </c>
      <c r="Y15" s="8" t="s">
        <v>97</v>
      </c>
    </row>
    <row r="16" customFormat="false" ht="21.75" hidden="false" customHeight="true" outlineLevel="0" collapsed="false">
      <c r="B16" s="9" t="n">
        <v>12</v>
      </c>
      <c r="C16" s="9" t="s">
        <v>98</v>
      </c>
      <c r="D16" s="9" t="s">
        <v>99</v>
      </c>
      <c r="E16" s="9" t="s">
        <v>47</v>
      </c>
      <c r="F16" s="9" t="s">
        <v>48</v>
      </c>
      <c r="G16" s="9" t="s">
        <v>49</v>
      </c>
      <c r="H16" s="9" t="n">
        <v>7.55</v>
      </c>
      <c r="I16" s="9" t="n">
        <v>9</v>
      </c>
      <c r="J16" s="9" t="n">
        <v>8</v>
      </c>
      <c r="K16" s="9" t="n">
        <v>9</v>
      </c>
      <c r="L16" s="9" t="n">
        <v>8.5</v>
      </c>
      <c r="M16" s="9" t="n">
        <v>5</v>
      </c>
      <c r="N16" s="9" t="n">
        <v>9</v>
      </c>
      <c r="O16" s="9" t="n">
        <v>3.5</v>
      </c>
      <c r="P16" s="9" t="n">
        <v>7.5</v>
      </c>
      <c r="Q16" s="9" t="n">
        <v>4.5</v>
      </c>
      <c r="R16" s="9" t="n">
        <v>4</v>
      </c>
      <c r="S16" s="10" t="s">
        <v>50</v>
      </c>
      <c r="T16" s="10" t="s">
        <v>51</v>
      </c>
      <c r="U16" s="9" t="n">
        <v>12</v>
      </c>
      <c r="V16" s="9" t="n">
        <v>10</v>
      </c>
      <c r="W16" s="10" t="s">
        <v>52</v>
      </c>
      <c r="X16" s="10"/>
      <c r="Y16" s="10" t="s">
        <v>100</v>
      </c>
    </row>
    <row r="17" customFormat="false" ht="21.75" hidden="false" customHeight="true" outlineLevel="0" collapsed="false">
      <c r="B17" s="7" t="n">
        <v>13</v>
      </c>
      <c r="C17" s="7" t="s">
        <v>101</v>
      </c>
      <c r="D17" s="7" t="s">
        <v>102</v>
      </c>
      <c r="E17" s="7" t="s">
        <v>89</v>
      </c>
      <c r="F17" s="7" t="s">
        <v>90</v>
      </c>
      <c r="G17" s="7" t="s">
        <v>103</v>
      </c>
      <c r="H17" s="7" t="n">
        <v>7.55</v>
      </c>
      <c r="I17" s="7" t="n">
        <v>8</v>
      </c>
      <c r="J17" s="7" t="n">
        <v>7</v>
      </c>
      <c r="K17" s="7" t="n">
        <v>9</v>
      </c>
      <c r="L17" s="7" t="n">
        <v>8.5</v>
      </c>
      <c r="M17" s="7" t="n">
        <v>6</v>
      </c>
      <c r="N17" s="7" t="n">
        <v>8</v>
      </c>
      <c r="O17" s="7" t="n">
        <v>8.5</v>
      </c>
      <c r="P17" s="7" t="n">
        <v>7.5</v>
      </c>
      <c r="Q17" s="7" t="n">
        <v>4.5</v>
      </c>
      <c r="R17" s="7" t="n">
        <v>6</v>
      </c>
      <c r="S17" s="8" t="s">
        <v>50</v>
      </c>
      <c r="T17" s="8" t="s">
        <v>51</v>
      </c>
      <c r="U17" s="7" t="n">
        <v>12</v>
      </c>
      <c r="V17" s="7" t="n">
        <v>10</v>
      </c>
      <c r="W17" s="8" t="s">
        <v>52</v>
      </c>
      <c r="X17" s="8"/>
      <c r="Y17" s="8" t="s">
        <v>104</v>
      </c>
    </row>
    <row r="18" customFormat="false" ht="21.75" hidden="false" customHeight="true" outlineLevel="0" collapsed="false">
      <c r="B18" s="9" t="n">
        <v>14</v>
      </c>
      <c r="C18" s="9" t="s">
        <v>105</v>
      </c>
      <c r="D18" s="9" t="s">
        <v>106</v>
      </c>
      <c r="E18" s="9" t="s">
        <v>89</v>
      </c>
      <c r="F18" s="9" t="s">
        <v>90</v>
      </c>
      <c r="G18" s="9" t="s">
        <v>49</v>
      </c>
      <c r="H18" s="9" t="n">
        <v>7.55</v>
      </c>
      <c r="I18" s="9" t="n">
        <v>7.5</v>
      </c>
      <c r="J18" s="9" t="n">
        <v>8.5</v>
      </c>
      <c r="K18" s="9" t="n">
        <v>9</v>
      </c>
      <c r="L18" s="9" t="n">
        <v>8.5</v>
      </c>
      <c r="M18" s="9" t="n">
        <v>7</v>
      </c>
      <c r="N18" s="9" t="n">
        <v>5</v>
      </c>
      <c r="O18" s="9" t="n">
        <v>8.5</v>
      </c>
      <c r="P18" s="9" t="n">
        <v>7.5</v>
      </c>
      <c r="Q18" s="9" t="n">
        <v>8</v>
      </c>
      <c r="R18" s="9" t="n">
        <v>4</v>
      </c>
      <c r="S18" s="10" t="s">
        <v>55</v>
      </c>
      <c r="T18" s="10" t="s">
        <v>56</v>
      </c>
      <c r="U18" s="9" t="n">
        <v>12</v>
      </c>
      <c r="V18" s="9" t="n">
        <v>10</v>
      </c>
      <c r="W18" s="10" t="s">
        <v>52</v>
      </c>
      <c r="X18" s="10"/>
      <c r="Y18" s="10" t="s">
        <v>107</v>
      </c>
    </row>
    <row r="19" customFormat="false" ht="21.75" hidden="false" customHeight="true" outlineLevel="0" collapsed="false">
      <c r="B19" s="7" t="n">
        <v>15</v>
      </c>
      <c r="C19" s="7" t="s">
        <v>108</v>
      </c>
      <c r="D19" s="7" t="s">
        <v>109</v>
      </c>
      <c r="E19" s="7" t="s">
        <v>76</v>
      </c>
      <c r="F19" s="7" t="s">
        <v>77</v>
      </c>
      <c r="G19" s="7" t="s">
        <v>49</v>
      </c>
      <c r="H19" s="7" t="n">
        <v>7.55</v>
      </c>
      <c r="I19" s="7" t="n">
        <v>8.5</v>
      </c>
      <c r="J19" s="7" t="n">
        <v>9.5</v>
      </c>
      <c r="K19" s="7" t="n">
        <v>8</v>
      </c>
      <c r="L19" s="7" t="n">
        <v>6.5</v>
      </c>
      <c r="M19" s="7" t="n">
        <v>6.5</v>
      </c>
      <c r="N19" s="7" t="n">
        <v>6.5</v>
      </c>
      <c r="O19" s="7" t="n">
        <v>8.5</v>
      </c>
      <c r="P19" s="7" t="n">
        <v>7.5</v>
      </c>
      <c r="Q19" s="7" t="n">
        <v>7</v>
      </c>
      <c r="R19" s="7" t="n">
        <v>4</v>
      </c>
      <c r="S19" s="8" t="s">
        <v>56</v>
      </c>
      <c r="T19" s="8" t="s">
        <v>56</v>
      </c>
      <c r="U19" s="7" t="n">
        <v>36</v>
      </c>
      <c r="V19" s="7" t="n">
        <v>30</v>
      </c>
      <c r="W19" s="8" t="s">
        <v>52</v>
      </c>
      <c r="X19" s="8"/>
      <c r="Y19" s="8" t="s">
        <v>110</v>
      </c>
    </row>
    <row r="20" customFormat="false" ht="21.75" hidden="false" customHeight="true" outlineLevel="0" collapsed="false">
      <c r="B20" s="9" t="n">
        <v>16</v>
      </c>
      <c r="C20" s="9" t="s">
        <v>111</v>
      </c>
      <c r="D20" s="9" t="s">
        <v>112</v>
      </c>
      <c r="E20" s="9" t="s">
        <v>89</v>
      </c>
      <c r="F20" s="9" t="s">
        <v>90</v>
      </c>
      <c r="G20" s="9" t="s">
        <v>49</v>
      </c>
      <c r="H20" s="9" t="n">
        <v>7.53</v>
      </c>
      <c r="I20" s="9" t="n">
        <v>7.5</v>
      </c>
      <c r="J20" s="9" t="n">
        <v>8</v>
      </c>
      <c r="K20" s="9" t="n">
        <v>9</v>
      </c>
      <c r="L20" s="9" t="n">
        <v>10</v>
      </c>
      <c r="M20" s="9" t="n">
        <v>6.5</v>
      </c>
      <c r="N20" s="9" t="n">
        <v>8</v>
      </c>
      <c r="O20" s="9" t="n">
        <v>5</v>
      </c>
      <c r="P20" s="9" t="n">
        <v>6</v>
      </c>
      <c r="Q20" s="9" t="n">
        <v>4.5</v>
      </c>
      <c r="R20" s="9" t="n">
        <v>4</v>
      </c>
      <c r="S20" s="10" t="s">
        <v>56</v>
      </c>
      <c r="T20" s="10" t="s">
        <v>56</v>
      </c>
      <c r="U20" s="9" t="n">
        <v>10</v>
      </c>
      <c r="V20" s="9" t="n">
        <v>10</v>
      </c>
      <c r="W20" s="10" t="s">
        <v>52</v>
      </c>
      <c r="X20" s="10"/>
      <c r="Y20" s="10" t="s">
        <v>113</v>
      </c>
    </row>
    <row r="21" customFormat="false" ht="21.75" hidden="false" customHeight="true" outlineLevel="0" collapsed="false">
      <c r="B21" s="7" t="n">
        <v>17</v>
      </c>
      <c r="C21" s="7" t="s">
        <v>114</v>
      </c>
      <c r="D21" s="7" t="s">
        <v>115</v>
      </c>
      <c r="E21" s="7" t="s">
        <v>94</v>
      </c>
      <c r="F21" s="7" t="s">
        <v>95</v>
      </c>
      <c r="G21" s="7" t="s">
        <v>49</v>
      </c>
      <c r="H21" s="7" t="n">
        <v>7.53</v>
      </c>
      <c r="I21" s="7" t="n">
        <v>9</v>
      </c>
      <c r="J21" s="7" t="n">
        <v>8</v>
      </c>
      <c r="K21" s="7" t="n">
        <v>9</v>
      </c>
      <c r="L21" s="7" t="n">
        <v>8</v>
      </c>
      <c r="M21" s="7" t="n">
        <v>4.5</v>
      </c>
      <c r="N21" s="7" t="n">
        <v>9</v>
      </c>
      <c r="O21" s="7" t="n">
        <v>5</v>
      </c>
      <c r="P21" s="7" t="n">
        <v>6</v>
      </c>
      <c r="Q21" s="7" t="n">
        <v>8</v>
      </c>
      <c r="R21" s="7" t="n">
        <v>2.5</v>
      </c>
      <c r="S21" s="8" t="s">
        <v>50</v>
      </c>
      <c r="T21" s="8" t="s">
        <v>51</v>
      </c>
      <c r="U21" s="7" t="n">
        <v>12</v>
      </c>
      <c r="V21" s="7" t="n">
        <v>10</v>
      </c>
      <c r="W21" s="8" t="s">
        <v>52</v>
      </c>
      <c r="X21" s="8" t="s">
        <v>116</v>
      </c>
      <c r="Y21" s="8" t="s">
        <v>117</v>
      </c>
    </row>
    <row r="22" customFormat="false" ht="21.75" hidden="false" customHeight="true" outlineLevel="0" collapsed="false">
      <c r="B22" s="9" t="n">
        <v>18</v>
      </c>
      <c r="C22" s="9" t="s">
        <v>118</v>
      </c>
      <c r="D22" s="9" t="s">
        <v>119</v>
      </c>
      <c r="E22" s="9" t="s">
        <v>47</v>
      </c>
      <c r="F22" s="9" t="s">
        <v>48</v>
      </c>
      <c r="G22" s="9" t="s">
        <v>49</v>
      </c>
      <c r="H22" s="9" t="n">
        <v>7.48</v>
      </c>
      <c r="I22" s="9" t="n">
        <v>7</v>
      </c>
      <c r="J22" s="9" t="n">
        <v>7.5</v>
      </c>
      <c r="K22" s="9" t="n">
        <v>7</v>
      </c>
      <c r="L22" s="9" t="n">
        <v>10</v>
      </c>
      <c r="M22" s="9" t="n">
        <v>6.5</v>
      </c>
      <c r="N22" s="9" t="n">
        <v>7</v>
      </c>
      <c r="O22" s="9" t="n">
        <v>5.5</v>
      </c>
      <c r="P22" s="9" t="n">
        <v>9.5</v>
      </c>
      <c r="Q22" s="9" t="n">
        <v>7</v>
      </c>
      <c r="R22" s="9" t="n">
        <v>6</v>
      </c>
      <c r="S22" s="10" t="s">
        <v>56</v>
      </c>
      <c r="T22" s="10" t="s">
        <v>56</v>
      </c>
      <c r="U22" s="9" t="n">
        <v>10</v>
      </c>
      <c r="V22" s="9" t="n">
        <v>10</v>
      </c>
      <c r="W22" s="10" t="s">
        <v>52</v>
      </c>
      <c r="X22" s="10"/>
      <c r="Y22" s="10" t="s">
        <v>120</v>
      </c>
    </row>
    <row r="23" customFormat="false" ht="21.75" hidden="false" customHeight="true" outlineLevel="0" collapsed="false">
      <c r="B23" s="7" t="n">
        <v>19</v>
      </c>
      <c r="C23" s="7" t="s">
        <v>121</v>
      </c>
      <c r="D23" s="7" t="s">
        <v>122</v>
      </c>
      <c r="E23" s="7" t="s">
        <v>89</v>
      </c>
      <c r="F23" s="7" t="s">
        <v>90</v>
      </c>
      <c r="G23" s="7" t="s">
        <v>49</v>
      </c>
      <c r="H23" s="7" t="n">
        <v>7.42</v>
      </c>
      <c r="I23" s="7" t="n">
        <v>9.5</v>
      </c>
      <c r="J23" s="7" t="n">
        <v>8</v>
      </c>
      <c r="K23" s="7" t="n">
        <v>7</v>
      </c>
      <c r="L23" s="7" t="n">
        <v>8.5</v>
      </c>
      <c r="M23" s="7" t="n">
        <v>6</v>
      </c>
      <c r="N23" s="7" t="n">
        <v>5</v>
      </c>
      <c r="O23" s="7" t="n">
        <v>5</v>
      </c>
      <c r="P23" s="7" t="n">
        <v>9.5</v>
      </c>
      <c r="Q23" s="7" t="n">
        <v>4.5</v>
      </c>
      <c r="R23" s="7" t="n">
        <v>6</v>
      </c>
      <c r="S23" s="8" t="s">
        <v>123</v>
      </c>
      <c r="T23" s="8" t="s">
        <v>51</v>
      </c>
      <c r="U23" s="7" t="n">
        <v>12</v>
      </c>
      <c r="V23" s="7" t="n">
        <v>10</v>
      </c>
      <c r="W23" s="8" t="s">
        <v>52</v>
      </c>
      <c r="X23" s="8"/>
      <c r="Y23" s="8" t="s">
        <v>124</v>
      </c>
    </row>
    <row r="24" customFormat="false" ht="21.75" hidden="false" customHeight="true" outlineLevel="0" collapsed="false">
      <c r="B24" s="9" t="n">
        <v>20</v>
      </c>
      <c r="C24" s="9" t="s">
        <v>125</v>
      </c>
      <c r="D24" s="9" t="s">
        <v>126</v>
      </c>
      <c r="E24" s="9" t="s">
        <v>47</v>
      </c>
      <c r="F24" s="9" t="s">
        <v>48</v>
      </c>
      <c r="G24" s="9" t="s">
        <v>49</v>
      </c>
      <c r="H24" s="9" t="n">
        <v>7.4</v>
      </c>
      <c r="I24" s="9" t="n">
        <v>8.5</v>
      </c>
      <c r="J24" s="9" t="n">
        <v>8</v>
      </c>
      <c r="K24" s="9" t="n">
        <v>9</v>
      </c>
      <c r="L24" s="9" t="n">
        <v>8.5</v>
      </c>
      <c r="M24" s="9" t="n">
        <v>6.5</v>
      </c>
      <c r="N24" s="9" t="n">
        <v>7</v>
      </c>
      <c r="O24" s="9" t="n">
        <v>6</v>
      </c>
      <c r="P24" s="9" t="n">
        <v>5</v>
      </c>
      <c r="Q24" s="9" t="n">
        <v>4.5</v>
      </c>
      <c r="R24" s="9" t="n">
        <v>4</v>
      </c>
      <c r="S24" s="10" t="s">
        <v>56</v>
      </c>
      <c r="T24" s="10" t="s">
        <v>56</v>
      </c>
      <c r="U24" s="9" t="n">
        <v>40</v>
      </c>
      <c r="V24" s="9" t="n">
        <v>45</v>
      </c>
      <c r="W24" s="10" t="s">
        <v>57</v>
      </c>
      <c r="X24" s="10"/>
      <c r="Y24" s="10" t="s">
        <v>126</v>
      </c>
    </row>
    <row r="25" customFormat="false" ht="21.75" hidden="false" customHeight="true" outlineLevel="0" collapsed="false">
      <c r="B25" s="7" t="n">
        <v>21</v>
      </c>
      <c r="C25" s="7" t="s">
        <v>127</v>
      </c>
      <c r="D25" s="7" t="s">
        <v>128</v>
      </c>
      <c r="E25" s="7" t="s">
        <v>47</v>
      </c>
      <c r="F25" s="7" t="s">
        <v>48</v>
      </c>
      <c r="G25" s="7" t="s">
        <v>49</v>
      </c>
      <c r="H25" s="7" t="n">
        <v>7.4</v>
      </c>
      <c r="I25" s="7" t="n">
        <v>8</v>
      </c>
      <c r="J25" s="7" t="n">
        <v>7</v>
      </c>
      <c r="K25" s="7" t="n">
        <v>5</v>
      </c>
      <c r="L25" s="7" t="n">
        <v>8.5</v>
      </c>
      <c r="M25" s="7" t="n">
        <v>6</v>
      </c>
      <c r="N25" s="7" t="n">
        <v>8</v>
      </c>
      <c r="O25" s="7" t="n">
        <v>5</v>
      </c>
      <c r="P25" s="7" t="n">
        <v>9.5</v>
      </c>
      <c r="Q25" s="7" t="n">
        <v>9</v>
      </c>
      <c r="R25" s="7" t="n">
        <v>8</v>
      </c>
      <c r="S25" s="8" t="s">
        <v>50</v>
      </c>
      <c r="T25" s="8" t="s">
        <v>51</v>
      </c>
      <c r="U25" s="7" t="n">
        <v>12</v>
      </c>
      <c r="V25" s="7" t="n">
        <v>10</v>
      </c>
      <c r="W25" s="8" t="s">
        <v>52</v>
      </c>
      <c r="X25" s="8"/>
      <c r="Y25" s="8" t="s">
        <v>129</v>
      </c>
    </row>
    <row r="26" customFormat="false" ht="21.75" hidden="false" customHeight="true" outlineLevel="0" collapsed="false">
      <c r="B26" s="9" t="n">
        <v>22</v>
      </c>
      <c r="C26" s="9" t="s">
        <v>130</v>
      </c>
      <c r="D26" s="9" t="s">
        <v>131</v>
      </c>
      <c r="E26" s="9" t="s">
        <v>94</v>
      </c>
      <c r="F26" s="9" t="s">
        <v>95</v>
      </c>
      <c r="G26" s="9" t="s">
        <v>49</v>
      </c>
      <c r="H26" s="9" t="n">
        <v>7.4</v>
      </c>
      <c r="I26" s="9" t="n">
        <v>6.5</v>
      </c>
      <c r="J26" s="9" t="n">
        <v>8</v>
      </c>
      <c r="K26" s="9" t="n">
        <v>8</v>
      </c>
      <c r="L26" s="9" t="n">
        <v>8</v>
      </c>
      <c r="M26" s="9" t="n">
        <v>8</v>
      </c>
      <c r="N26" s="9" t="n">
        <v>8</v>
      </c>
      <c r="O26" s="9" t="n">
        <v>6.5</v>
      </c>
      <c r="P26" s="9" t="n">
        <v>9</v>
      </c>
      <c r="Q26" s="9" t="n">
        <v>4.5</v>
      </c>
      <c r="R26" s="9" t="n">
        <v>6</v>
      </c>
      <c r="S26" s="10" t="s">
        <v>55</v>
      </c>
      <c r="T26" s="10" t="s">
        <v>56</v>
      </c>
      <c r="U26" s="9" t="n">
        <v>12</v>
      </c>
      <c r="V26" s="9" t="n">
        <v>10</v>
      </c>
      <c r="W26" s="10" t="s">
        <v>52</v>
      </c>
      <c r="X26" s="10" t="s">
        <v>132</v>
      </c>
      <c r="Y26" s="10" t="s">
        <v>133</v>
      </c>
    </row>
    <row r="27" customFormat="false" ht="21.75" hidden="false" customHeight="true" outlineLevel="0" collapsed="false">
      <c r="B27" s="7" t="n">
        <v>23</v>
      </c>
      <c r="C27" s="7" t="s">
        <v>134</v>
      </c>
      <c r="D27" s="7" t="s">
        <v>135</v>
      </c>
      <c r="E27" s="7" t="s">
        <v>94</v>
      </c>
      <c r="F27" s="7" t="s">
        <v>95</v>
      </c>
      <c r="G27" s="7" t="s">
        <v>61</v>
      </c>
      <c r="H27" s="7" t="n">
        <v>7.4</v>
      </c>
      <c r="I27" s="7" t="n">
        <v>8</v>
      </c>
      <c r="J27" s="7" t="n">
        <v>6</v>
      </c>
      <c r="K27" s="7" t="n">
        <v>7</v>
      </c>
      <c r="L27" s="7" t="n">
        <v>10</v>
      </c>
      <c r="M27" s="7" t="n">
        <v>5</v>
      </c>
      <c r="N27" s="7" t="n">
        <v>9</v>
      </c>
      <c r="O27" s="7" t="n">
        <v>4</v>
      </c>
      <c r="P27" s="7" t="n">
        <v>10</v>
      </c>
      <c r="Q27" s="7" t="n">
        <v>8</v>
      </c>
      <c r="R27" s="7" t="n">
        <v>4</v>
      </c>
      <c r="S27" s="8" t="s">
        <v>56</v>
      </c>
      <c r="T27" s="8" t="s">
        <v>56</v>
      </c>
      <c r="U27" s="7" t="n">
        <v>12</v>
      </c>
      <c r="V27" s="7" t="n">
        <v>10</v>
      </c>
      <c r="W27" s="8" t="s">
        <v>52</v>
      </c>
      <c r="X27" s="8" t="s">
        <v>136</v>
      </c>
      <c r="Y27" s="8" t="s">
        <v>137</v>
      </c>
    </row>
    <row r="28" customFormat="false" ht="21.75" hidden="false" customHeight="true" outlineLevel="0" collapsed="false">
      <c r="B28" s="9" t="n">
        <v>24</v>
      </c>
      <c r="C28" s="9" t="s">
        <v>138</v>
      </c>
      <c r="D28" s="9" t="s">
        <v>139</v>
      </c>
      <c r="E28" s="9" t="s">
        <v>47</v>
      </c>
      <c r="F28" s="9" t="s">
        <v>48</v>
      </c>
      <c r="G28" s="9" t="s">
        <v>61</v>
      </c>
      <c r="H28" s="9" t="n">
        <v>7.4</v>
      </c>
      <c r="I28" s="9" t="n">
        <v>7</v>
      </c>
      <c r="J28" s="9" t="n">
        <v>6</v>
      </c>
      <c r="K28" s="9" t="n">
        <v>6</v>
      </c>
      <c r="L28" s="9" t="n">
        <v>10</v>
      </c>
      <c r="M28" s="9" t="n">
        <v>6</v>
      </c>
      <c r="N28" s="9" t="n">
        <v>9</v>
      </c>
      <c r="O28" s="9" t="n">
        <v>6</v>
      </c>
      <c r="P28" s="9" t="n">
        <v>10</v>
      </c>
      <c r="Q28" s="9" t="n">
        <v>9</v>
      </c>
      <c r="R28" s="9" t="n">
        <v>5</v>
      </c>
      <c r="S28" s="10" t="s">
        <v>56</v>
      </c>
      <c r="T28" s="10" t="s">
        <v>56</v>
      </c>
      <c r="U28" s="9" t="n">
        <v>18</v>
      </c>
      <c r="V28" s="9" t="n">
        <v>10</v>
      </c>
      <c r="W28" s="10" t="s">
        <v>52</v>
      </c>
      <c r="X28" s="10" t="s">
        <v>140</v>
      </c>
      <c r="Y28" s="10" t="s">
        <v>141</v>
      </c>
    </row>
    <row r="29" customFormat="false" ht="21.75" hidden="false" customHeight="true" outlineLevel="0" collapsed="false">
      <c r="B29" s="7" t="n">
        <v>25</v>
      </c>
      <c r="C29" s="7" t="s">
        <v>142</v>
      </c>
      <c r="D29" s="7" t="s">
        <v>143</v>
      </c>
      <c r="E29" s="7" t="s">
        <v>89</v>
      </c>
      <c r="F29" s="7" t="s">
        <v>90</v>
      </c>
      <c r="G29" s="7" t="s">
        <v>61</v>
      </c>
      <c r="H29" s="7" t="n">
        <v>7.4</v>
      </c>
      <c r="I29" s="7" t="n">
        <v>7</v>
      </c>
      <c r="J29" s="7" t="n">
        <v>8</v>
      </c>
      <c r="K29" s="7" t="n">
        <v>5</v>
      </c>
      <c r="L29" s="7" t="n">
        <v>9</v>
      </c>
      <c r="M29" s="7" t="n">
        <v>7</v>
      </c>
      <c r="N29" s="7" t="n">
        <v>9</v>
      </c>
      <c r="O29" s="7" t="n">
        <v>6</v>
      </c>
      <c r="P29" s="7" t="n">
        <v>8</v>
      </c>
      <c r="Q29" s="7" t="n">
        <v>8</v>
      </c>
      <c r="R29" s="7" t="n">
        <v>5</v>
      </c>
      <c r="S29" s="8" t="s">
        <v>55</v>
      </c>
      <c r="T29" s="8" t="s">
        <v>56</v>
      </c>
      <c r="U29" s="7" t="n">
        <v>30</v>
      </c>
      <c r="V29" s="7" t="n">
        <v>25</v>
      </c>
      <c r="W29" s="8" t="s">
        <v>57</v>
      </c>
      <c r="X29" s="8" t="s">
        <v>144</v>
      </c>
      <c r="Y29" s="8" t="s">
        <v>145</v>
      </c>
    </row>
    <row r="30" customFormat="false" ht="21.75" hidden="false" customHeight="true" outlineLevel="0" collapsed="false">
      <c r="B30" s="9" t="n">
        <v>26</v>
      </c>
      <c r="C30" s="9" t="s">
        <v>146</v>
      </c>
      <c r="D30" s="9" t="s">
        <v>147</v>
      </c>
      <c r="E30" s="9" t="s">
        <v>47</v>
      </c>
      <c r="F30" s="9" t="s">
        <v>48</v>
      </c>
      <c r="G30" s="9" t="s">
        <v>49</v>
      </c>
      <c r="H30" s="9" t="n">
        <v>7.35</v>
      </c>
      <c r="I30" s="9" t="n">
        <v>7</v>
      </c>
      <c r="J30" s="9" t="n">
        <v>8.5</v>
      </c>
      <c r="K30" s="9" t="n">
        <v>7</v>
      </c>
      <c r="L30" s="9" t="n">
        <v>8.5</v>
      </c>
      <c r="M30" s="9" t="n">
        <v>8</v>
      </c>
      <c r="N30" s="9" t="n">
        <v>7.5</v>
      </c>
      <c r="O30" s="9" t="n">
        <v>3.5</v>
      </c>
      <c r="P30" s="9" t="n">
        <v>7.5</v>
      </c>
      <c r="Q30" s="9" t="n">
        <v>8</v>
      </c>
      <c r="R30" s="9" t="n">
        <v>4</v>
      </c>
      <c r="S30" s="10" t="s">
        <v>56</v>
      </c>
      <c r="T30" s="10" t="s">
        <v>56</v>
      </c>
      <c r="U30" s="9" t="n">
        <v>12</v>
      </c>
      <c r="V30" s="9" t="n">
        <v>10</v>
      </c>
      <c r="W30" s="10" t="s">
        <v>52</v>
      </c>
      <c r="X30" s="10"/>
      <c r="Y30" s="10" t="s">
        <v>148</v>
      </c>
    </row>
    <row r="31" customFormat="false" ht="21.75" hidden="false" customHeight="true" outlineLevel="0" collapsed="false">
      <c r="B31" s="7" t="n">
        <v>27</v>
      </c>
      <c r="C31" s="7" t="s">
        <v>149</v>
      </c>
      <c r="D31" s="7" t="s">
        <v>150</v>
      </c>
      <c r="E31" s="7" t="s">
        <v>47</v>
      </c>
      <c r="F31" s="7" t="s">
        <v>48</v>
      </c>
      <c r="G31" s="7" t="s">
        <v>49</v>
      </c>
      <c r="H31" s="7" t="n">
        <v>7.35</v>
      </c>
      <c r="I31" s="7" t="n">
        <v>8</v>
      </c>
      <c r="J31" s="7" t="n">
        <v>8.5</v>
      </c>
      <c r="K31" s="7" t="n">
        <v>4</v>
      </c>
      <c r="L31" s="7" t="n">
        <v>8.5</v>
      </c>
      <c r="M31" s="7" t="n">
        <v>8.5</v>
      </c>
      <c r="N31" s="7" t="n">
        <v>7</v>
      </c>
      <c r="O31" s="7" t="n">
        <v>7</v>
      </c>
      <c r="P31" s="7" t="n">
        <v>6</v>
      </c>
      <c r="Q31" s="7" t="n">
        <v>8</v>
      </c>
      <c r="R31" s="7" t="n">
        <v>4</v>
      </c>
      <c r="S31" s="8" t="s">
        <v>55</v>
      </c>
      <c r="T31" s="8" t="s">
        <v>72</v>
      </c>
      <c r="U31" s="7" t="n">
        <v>40</v>
      </c>
      <c r="V31" s="7" t="n">
        <v>45</v>
      </c>
      <c r="W31" s="8" t="s">
        <v>57</v>
      </c>
      <c r="X31" s="8"/>
      <c r="Y31" s="8" t="s">
        <v>151</v>
      </c>
    </row>
    <row r="32" customFormat="false" ht="21.75" hidden="false" customHeight="true" outlineLevel="0" collapsed="false">
      <c r="B32" s="9" t="n">
        <v>28</v>
      </c>
      <c r="C32" s="9" t="s">
        <v>152</v>
      </c>
      <c r="D32" s="9" t="s">
        <v>153</v>
      </c>
      <c r="E32" s="9" t="s">
        <v>47</v>
      </c>
      <c r="F32" s="9" t="s">
        <v>48</v>
      </c>
      <c r="G32" s="9" t="s">
        <v>49</v>
      </c>
      <c r="H32" s="9" t="n">
        <v>7.33</v>
      </c>
      <c r="I32" s="9" t="n">
        <v>9.5</v>
      </c>
      <c r="J32" s="9" t="n">
        <v>7</v>
      </c>
      <c r="K32" s="9" t="n">
        <v>9</v>
      </c>
      <c r="L32" s="9" t="n">
        <v>8.5</v>
      </c>
      <c r="M32" s="9" t="n">
        <v>6</v>
      </c>
      <c r="N32" s="9" t="n">
        <v>7</v>
      </c>
      <c r="O32" s="9" t="n">
        <v>3.5</v>
      </c>
      <c r="P32" s="9" t="n">
        <v>6</v>
      </c>
      <c r="Q32" s="9" t="n">
        <v>4.5</v>
      </c>
      <c r="R32" s="9" t="n">
        <v>4</v>
      </c>
      <c r="S32" s="10" t="s">
        <v>123</v>
      </c>
      <c r="T32" s="10" t="s">
        <v>51</v>
      </c>
      <c r="U32" s="9" t="n">
        <v>12</v>
      </c>
      <c r="V32" s="9" t="n">
        <v>10</v>
      </c>
      <c r="W32" s="10" t="s">
        <v>52</v>
      </c>
      <c r="X32" s="10"/>
      <c r="Y32" s="10" t="s">
        <v>154</v>
      </c>
    </row>
    <row r="33" customFormat="false" ht="21.75" hidden="false" customHeight="true" outlineLevel="0" collapsed="false">
      <c r="B33" s="7" t="n">
        <v>29</v>
      </c>
      <c r="C33" s="7" t="s">
        <v>155</v>
      </c>
      <c r="D33" s="7" t="s">
        <v>156</v>
      </c>
      <c r="E33" s="7" t="s">
        <v>94</v>
      </c>
      <c r="F33" s="7" t="s">
        <v>95</v>
      </c>
      <c r="G33" s="7" t="s">
        <v>49</v>
      </c>
      <c r="H33" s="7" t="n">
        <v>7.3</v>
      </c>
      <c r="I33" s="7" t="n">
        <v>8</v>
      </c>
      <c r="J33" s="7" t="n">
        <v>8</v>
      </c>
      <c r="K33" s="7" t="n">
        <v>4.5</v>
      </c>
      <c r="L33" s="7" t="n">
        <v>8.5</v>
      </c>
      <c r="M33" s="7" t="n">
        <v>6</v>
      </c>
      <c r="N33" s="7" t="n">
        <v>9</v>
      </c>
      <c r="O33" s="7" t="n">
        <v>6</v>
      </c>
      <c r="P33" s="7" t="n">
        <v>7.5</v>
      </c>
      <c r="Q33" s="7" t="n">
        <v>8</v>
      </c>
      <c r="R33" s="7" t="n">
        <v>4</v>
      </c>
      <c r="S33" s="8" t="s">
        <v>50</v>
      </c>
      <c r="T33" s="8" t="s">
        <v>51</v>
      </c>
      <c r="U33" s="7" t="n">
        <v>12</v>
      </c>
      <c r="V33" s="7" t="n">
        <v>10</v>
      </c>
      <c r="W33" s="8" t="s">
        <v>52</v>
      </c>
      <c r="X33" s="8" t="s">
        <v>157</v>
      </c>
      <c r="Y33" s="8" t="s">
        <v>158</v>
      </c>
    </row>
    <row r="34" customFormat="false" ht="21.75" hidden="false" customHeight="true" outlineLevel="0" collapsed="false">
      <c r="B34" s="9" t="n">
        <v>30</v>
      </c>
      <c r="C34" s="9" t="s">
        <v>159</v>
      </c>
      <c r="D34" s="9" t="s">
        <v>160</v>
      </c>
      <c r="E34" s="9" t="s">
        <v>47</v>
      </c>
      <c r="F34" s="9" t="s">
        <v>48</v>
      </c>
      <c r="G34" s="9" t="s">
        <v>61</v>
      </c>
      <c r="H34" s="9" t="n">
        <v>7.3</v>
      </c>
      <c r="I34" s="9" t="n">
        <v>7</v>
      </c>
      <c r="J34" s="9" t="n">
        <v>7</v>
      </c>
      <c r="K34" s="9" t="n">
        <v>6</v>
      </c>
      <c r="L34" s="9" t="n">
        <v>10</v>
      </c>
      <c r="M34" s="9" t="n">
        <v>5</v>
      </c>
      <c r="N34" s="9" t="n">
        <v>9</v>
      </c>
      <c r="O34" s="9" t="n">
        <v>5</v>
      </c>
      <c r="P34" s="9" t="n">
        <v>10</v>
      </c>
      <c r="Q34" s="9" t="n">
        <v>8</v>
      </c>
      <c r="R34" s="9" t="n">
        <v>4</v>
      </c>
      <c r="S34" s="10" t="s">
        <v>56</v>
      </c>
      <c r="T34" s="10" t="s">
        <v>56</v>
      </c>
      <c r="U34" s="9" t="n">
        <v>8</v>
      </c>
      <c r="V34" s="9" t="n">
        <v>10</v>
      </c>
      <c r="W34" s="10" t="s">
        <v>52</v>
      </c>
      <c r="X34" s="10" t="s">
        <v>161</v>
      </c>
      <c r="Y34" s="10" t="s">
        <v>162</v>
      </c>
    </row>
    <row r="35" customFormat="false" ht="21.75" hidden="false" customHeight="true" outlineLevel="0" collapsed="false">
      <c r="B35" s="7" t="n">
        <v>31</v>
      </c>
      <c r="C35" s="7" t="s">
        <v>163</v>
      </c>
      <c r="D35" s="7" t="s">
        <v>164</v>
      </c>
      <c r="E35" s="7" t="s">
        <v>47</v>
      </c>
      <c r="F35" s="7" t="s">
        <v>48</v>
      </c>
      <c r="G35" s="7" t="s">
        <v>49</v>
      </c>
      <c r="H35" s="7" t="n">
        <v>7.25</v>
      </c>
      <c r="I35" s="7" t="n">
        <v>8.5</v>
      </c>
      <c r="J35" s="7" t="n">
        <v>6</v>
      </c>
      <c r="K35" s="7" t="n">
        <v>9</v>
      </c>
      <c r="L35" s="7" t="n">
        <v>8.5</v>
      </c>
      <c r="M35" s="7" t="n">
        <v>5</v>
      </c>
      <c r="N35" s="7" t="n">
        <v>8</v>
      </c>
      <c r="O35" s="7" t="n">
        <v>3.5</v>
      </c>
      <c r="P35" s="7" t="n">
        <v>9.5</v>
      </c>
      <c r="Q35" s="7" t="n">
        <v>4.5</v>
      </c>
      <c r="R35" s="7" t="n">
        <v>6</v>
      </c>
      <c r="S35" s="8" t="s">
        <v>50</v>
      </c>
      <c r="T35" s="8" t="s">
        <v>51</v>
      </c>
      <c r="U35" s="7" t="n">
        <v>12</v>
      </c>
      <c r="V35" s="7" t="n">
        <v>10</v>
      </c>
      <c r="W35" s="8" t="s">
        <v>52</v>
      </c>
      <c r="X35" s="8"/>
      <c r="Y35" s="8" t="s">
        <v>165</v>
      </c>
    </row>
    <row r="36" customFormat="false" ht="21.75" hidden="false" customHeight="true" outlineLevel="0" collapsed="false">
      <c r="B36" s="9" t="n">
        <v>32</v>
      </c>
      <c r="C36" s="9" t="s">
        <v>166</v>
      </c>
      <c r="D36" s="9" t="s">
        <v>167</v>
      </c>
      <c r="E36" s="9" t="s">
        <v>47</v>
      </c>
      <c r="F36" s="9" t="s">
        <v>48</v>
      </c>
      <c r="G36" s="9" t="s">
        <v>49</v>
      </c>
      <c r="H36" s="9" t="n">
        <v>7.25</v>
      </c>
      <c r="I36" s="9" t="n">
        <v>9</v>
      </c>
      <c r="J36" s="9" t="n">
        <v>8.5</v>
      </c>
      <c r="K36" s="9" t="n">
        <v>9</v>
      </c>
      <c r="L36" s="9" t="n">
        <v>5.5</v>
      </c>
      <c r="M36" s="9" t="n">
        <v>7</v>
      </c>
      <c r="N36" s="9" t="n">
        <v>8.5</v>
      </c>
      <c r="O36" s="9" t="n">
        <v>3.5</v>
      </c>
      <c r="P36" s="9" t="n">
        <v>6</v>
      </c>
      <c r="Q36" s="9" t="n">
        <v>4.5</v>
      </c>
      <c r="R36" s="9" t="n">
        <v>4</v>
      </c>
      <c r="S36" s="10" t="s">
        <v>56</v>
      </c>
      <c r="T36" s="10" t="s">
        <v>72</v>
      </c>
      <c r="U36" s="9" t="n">
        <v>52</v>
      </c>
      <c r="V36" s="9" t="n">
        <v>45</v>
      </c>
      <c r="W36" s="10" t="s">
        <v>57</v>
      </c>
      <c r="X36" s="10"/>
      <c r="Y36" s="10" t="s">
        <v>168</v>
      </c>
    </row>
    <row r="37" customFormat="false" ht="21.75" hidden="false" customHeight="true" outlineLevel="0" collapsed="false">
      <c r="B37" s="7" t="n">
        <v>33</v>
      </c>
      <c r="C37" s="7" t="s">
        <v>169</v>
      </c>
      <c r="D37" s="7" t="s">
        <v>170</v>
      </c>
      <c r="E37" s="7" t="s">
        <v>47</v>
      </c>
      <c r="F37" s="7" t="s">
        <v>48</v>
      </c>
      <c r="G37" s="7" t="s">
        <v>61</v>
      </c>
      <c r="H37" s="7" t="n">
        <v>7.25</v>
      </c>
      <c r="I37" s="7" t="n">
        <v>7</v>
      </c>
      <c r="J37" s="7" t="n">
        <v>7</v>
      </c>
      <c r="K37" s="7" t="n">
        <v>5</v>
      </c>
      <c r="L37" s="7" t="n">
        <v>10</v>
      </c>
      <c r="M37" s="7" t="n">
        <v>6</v>
      </c>
      <c r="N37" s="7" t="n">
        <v>8</v>
      </c>
      <c r="O37" s="7" t="n">
        <v>6</v>
      </c>
      <c r="P37" s="7" t="n">
        <v>10</v>
      </c>
      <c r="Q37" s="7" t="n">
        <v>7</v>
      </c>
      <c r="R37" s="7" t="n">
        <v>5</v>
      </c>
      <c r="S37" s="8" t="s">
        <v>56</v>
      </c>
      <c r="T37" s="8" t="s">
        <v>56</v>
      </c>
      <c r="U37" s="7" t="n">
        <v>14</v>
      </c>
      <c r="V37" s="7" t="n">
        <v>10</v>
      </c>
      <c r="W37" s="8" t="s">
        <v>52</v>
      </c>
      <c r="X37" s="8" t="s">
        <v>171</v>
      </c>
      <c r="Y37" s="8" t="s">
        <v>172</v>
      </c>
    </row>
    <row r="38" customFormat="false" ht="21.75" hidden="false" customHeight="true" outlineLevel="0" collapsed="false">
      <c r="B38" s="9" t="n">
        <v>34</v>
      </c>
      <c r="C38" s="9" t="s">
        <v>173</v>
      </c>
      <c r="D38" s="9" t="s">
        <v>174</v>
      </c>
      <c r="E38" s="9" t="s">
        <v>47</v>
      </c>
      <c r="F38" s="9" t="s">
        <v>48</v>
      </c>
      <c r="G38" s="9" t="s">
        <v>49</v>
      </c>
      <c r="H38" s="9" t="n">
        <v>7.22</v>
      </c>
      <c r="I38" s="9" t="n">
        <v>7.5</v>
      </c>
      <c r="J38" s="9" t="n">
        <v>8</v>
      </c>
      <c r="K38" s="9" t="n">
        <v>7</v>
      </c>
      <c r="L38" s="9" t="n">
        <v>8.5</v>
      </c>
      <c r="M38" s="9" t="n">
        <v>8</v>
      </c>
      <c r="N38" s="9" t="n">
        <v>7</v>
      </c>
      <c r="O38" s="9" t="n">
        <v>5</v>
      </c>
      <c r="P38" s="9" t="n">
        <v>7.5</v>
      </c>
      <c r="Q38" s="9" t="n">
        <v>4.5</v>
      </c>
      <c r="R38" s="9" t="n">
        <v>4</v>
      </c>
      <c r="S38" s="10" t="s">
        <v>56</v>
      </c>
      <c r="T38" s="10" t="s">
        <v>56</v>
      </c>
      <c r="U38" s="9" t="n">
        <v>12</v>
      </c>
      <c r="V38" s="9" t="n">
        <v>10</v>
      </c>
      <c r="W38" s="10" t="s">
        <v>52</v>
      </c>
      <c r="X38" s="10"/>
      <c r="Y38" s="10" t="s">
        <v>175</v>
      </c>
    </row>
    <row r="39" customFormat="false" ht="21.75" hidden="false" customHeight="true" outlineLevel="0" collapsed="false">
      <c r="B39" s="7" t="n">
        <v>35</v>
      </c>
      <c r="C39" s="7" t="s">
        <v>176</v>
      </c>
      <c r="D39" s="7" t="s">
        <v>177</v>
      </c>
      <c r="E39" s="7" t="s">
        <v>89</v>
      </c>
      <c r="F39" s="7" t="s">
        <v>90</v>
      </c>
      <c r="G39" s="7" t="s">
        <v>49</v>
      </c>
      <c r="H39" s="7" t="n">
        <v>7.17</v>
      </c>
      <c r="I39" s="7" t="n">
        <v>7.5</v>
      </c>
      <c r="J39" s="7" t="n">
        <v>8.5</v>
      </c>
      <c r="K39" s="7" t="n">
        <v>7</v>
      </c>
      <c r="L39" s="7" t="n">
        <v>8</v>
      </c>
      <c r="M39" s="7" t="n">
        <v>7.5</v>
      </c>
      <c r="N39" s="7" t="n">
        <v>8.5</v>
      </c>
      <c r="O39" s="7" t="n">
        <v>3.5</v>
      </c>
      <c r="P39" s="7" t="n">
        <v>6</v>
      </c>
      <c r="Q39" s="7" t="n">
        <v>4.5</v>
      </c>
      <c r="R39" s="7" t="n">
        <v>4</v>
      </c>
      <c r="S39" s="8" t="s">
        <v>56</v>
      </c>
      <c r="T39" s="8" t="s">
        <v>56</v>
      </c>
      <c r="U39" s="7" t="n">
        <v>12</v>
      </c>
      <c r="V39" s="7" t="n">
        <v>10</v>
      </c>
      <c r="W39" s="8" t="s">
        <v>52</v>
      </c>
      <c r="X39" s="8"/>
      <c r="Y39" s="8" t="s">
        <v>178</v>
      </c>
    </row>
    <row r="40" customFormat="false" ht="21.75" hidden="false" customHeight="true" outlineLevel="0" collapsed="false">
      <c r="B40" s="9" t="n">
        <v>36</v>
      </c>
      <c r="C40" s="9" t="s">
        <v>179</v>
      </c>
      <c r="D40" s="9" t="s">
        <v>180</v>
      </c>
      <c r="E40" s="9" t="s">
        <v>47</v>
      </c>
      <c r="F40" s="9" t="s">
        <v>48</v>
      </c>
      <c r="G40" s="9" t="s">
        <v>49</v>
      </c>
      <c r="H40" s="9" t="n">
        <v>7.15</v>
      </c>
      <c r="I40" s="9" t="n">
        <v>7.5</v>
      </c>
      <c r="J40" s="9" t="n">
        <v>7</v>
      </c>
      <c r="K40" s="9" t="n">
        <v>7</v>
      </c>
      <c r="L40" s="9" t="n">
        <v>10</v>
      </c>
      <c r="M40" s="9" t="n">
        <v>6</v>
      </c>
      <c r="N40" s="9" t="n">
        <v>7</v>
      </c>
      <c r="O40" s="9" t="n">
        <v>3.5</v>
      </c>
      <c r="P40" s="9" t="n">
        <v>7.5</v>
      </c>
      <c r="Q40" s="9" t="n">
        <v>7</v>
      </c>
      <c r="R40" s="9" t="n">
        <v>4</v>
      </c>
      <c r="S40" s="10" t="s">
        <v>123</v>
      </c>
      <c r="T40" s="10" t="s">
        <v>51</v>
      </c>
      <c r="U40" s="9" t="n">
        <v>10</v>
      </c>
      <c r="V40" s="9" t="n">
        <v>10</v>
      </c>
      <c r="W40" s="10" t="s">
        <v>52</v>
      </c>
      <c r="X40" s="10"/>
      <c r="Y40" s="10" t="s">
        <v>180</v>
      </c>
    </row>
    <row r="41" customFormat="false" ht="21.75" hidden="false" customHeight="true" outlineLevel="0" collapsed="false">
      <c r="B41" s="7" t="n">
        <v>37</v>
      </c>
      <c r="C41" s="7" t="s">
        <v>181</v>
      </c>
      <c r="D41" s="7" t="s">
        <v>182</v>
      </c>
      <c r="E41" s="7" t="s">
        <v>89</v>
      </c>
      <c r="F41" s="7" t="s">
        <v>90</v>
      </c>
      <c r="G41" s="7" t="s">
        <v>49</v>
      </c>
      <c r="H41" s="7" t="n">
        <v>7.15</v>
      </c>
      <c r="I41" s="7" t="n">
        <v>6.5</v>
      </c>
      <c r="J41" s="7" t="n">
        <v>8</v>
      </c>
      <c r="K41" s="7" t="n">
        <v>9</v>
      </c>
      <c r="L41" s="7" t="n">
        <v>8.5</v>
      </c>
      <c r="M41" s="7" t="n">
        <v>7</v>
      </c>
      <c r="N41" s="7" t="n">
        <v>7</v>
      </c>
      <c r="O41" s="7" t="n">
        <v>5.5</v>
      </c>
      <c r="P41" s="7" t="n">
        <v>7.5</v>
      </c>
      <c r="Q41" s="7" t="n">
        <v>4.5</v>
      </c>
      <c r="R41" s="7" t="n">
        <v>4</v>
      </c>
      <c r="S41" s="8" t="s">
        <v>56</v>
      </c>
      <c r="T41" s="8" t="s">
        <v>56</v>
      </c>
      <c r="U41" s="7" t="n">
        <v>12</v>
      </c>
      <c r="V41" s="7" t="n">
        <v>10</v>
      </c>
      <c r="W41" s="8" t="s">
        <v>52</v>
      </c>
      <c r="X41" s="8"/>
      <c r="Y41" s="8" t="s">
        <v>183</v>
      </c>
    </row>
    <row r="42" customFormat="false" ht="21.75" hidden="false" customHeight="true" outlineLevel="0" collapsed="false">
      <c r="B42" s="9" t="n">
        <v>38</v>
      </c>
      <c r="C42" s="9" t="s">
        <v>184</v>
      </c>
      <c r="D42" s="9" t="s">
        <v>185</v>
      </c>
      <c r="E42" s="9" t="s">
        <v>94</v>
      </c>
      <c r="F42" s="9" t="s">
        <v>95</v>
      </c>
      <c r="G42" s="9" t="s">
        <v>61</v>
      </c>
      <c r="H42" s="9" t="n">
        <v>7.15</v>
      </c>
      <c r="I42" s="9" t="n">
        <v>7</v>
      </c>
      <c r="J42" s="9" t="n">
        <v>7</v>
      </c>
      <c r="K42" s="9" t="n">
        <v>6</v>
      </c>
      <c r="L42" s="9" t="n">
        <v>10</v>
      </c>
      <c r="M42" s="9" t="n">
        <v>5</v>
      </c>
      <c r="N42" s="9" t="n">
        <v>8</v>
      </c>
      <c r="O42" s="9" t="n">
        <v>5</v>
      </c>
      <c r="P42" s="9" t="n">
        <v>10</v>
      </c>
      <c r="Q42" s="9" t="n">
        <v>7</v>
      </c>
      <c r="R42" s="9" t="n">
        <v>4</v>
      </c>
      <c r="S42" s="10" t="s">
        <v>56</v>
      </c>
      <c r="T42" s="10" t="s">
        <v>56</v>
      </c>
      <c r="U42" s="9" t="n">
        <v>10</v>
      </c>
      <c r="V42" s="9" t="n">
        <v>25</v>
      </c>
      <c r="W42" s="10" t="s">
        <v>57</v>
      </c>
      <c r="X42" s="10" t="s">
        <v>186</v>
      </c>
      <c r="Y42" s="10" t="s">
        <v>187</v>
      </c>
    </row>
    <row r="43" customFormat="false" ht="21.75" hidden="false" customHeight="true" outlineLevel="0" collapsed="false">
      <c r="B43" s="7" t="n">
        <v>39</v>
      </c>
      <c r="C43" s="7" t="s">
        <v>188</v>
      </c>
      <c r="D43" s="7" t="s">
        <v>189</v>
      </c>
      <c r="E43" s="7" t="s">
        <v>47</v>
      </c>
      <c r="F43" s="7" t="s">
        <v>48</v>
      </c>
      <c r="G43" s="7" t="s">
        <v>61</v>
      </c>
      <c r="H43" s="7" t="n">
        <v>7.15</v>
      </c>
      <c r="I43" s="7" t="n">
        <v>7</v>
      </c>
      <c r="J43" s="7" t="n">
        <v>7</v>
      </c>
      <c r="K43" s="7" t="n">
        <v>5</v>
      </c>
      <c r="L43" s="7" t="n">
        <v>10</v>
      </c>
      <c r="M43" s="7" t="n">
        <v>5</v>
      </c>
      <c r="N43" s="7" t="n">
        <v>9</v>
      </c>
      <c r="O43" s="7" t="n">
        <v>5</v>
      </c>
      <c r="P43" s="7" t="n">
        <v>10</v>
      </c>
      <c r="Q43" s="7" t="n">
        <v>7</v>
      </c>
      <c r="R43" s="7" t="n">
        <v>4</v>
      </c>
      <c r="S43" s="8" t="s">
        <v>56</v>
      </c>
      <c r="T43" s="8" t="s">
        <v>56</v>
      </c>
      <c r="U43" s="7" t="n">
        <v>10</v>
      </c>
      <c r="V43" s="7" t="n">
        <v>10</v>
      </c>
      <c r="W43" s="8" t="s">
        <v>52</v>
      </c>
      <c r="X43" s="8" t="s">
        <v>190</v>
      </c>
      <c r="Y43" s="8" t="s">
        <v>191</v>
      </c>
    </row>
    <row r="44" customFormat="false" ht="21.75" hidden="false" customHeight="true" outlineLevel="0" collapsed="false">
      <c r="B44" s="9" t="n">
        <v>40</v>
      </c>
      <c r="C44" s="9" t="s">
        <v>192</v>
      </c>
      <c r="D44" s="9" t="s">
        <v>193</v>
      </c>
      <c r="E44" s="9" t="s">
        <v>47</v>
      </c>
      <c r="F44" s="9" t="s">
        <v>48</v>
      </c>
      <c r="G44" s="9" t="s">
        <v>61</v>
      </c>
      <c r="H44" s="9" t="n">
        <v>7.12</v>
      </c>
      <c r="I44" s="9" t="n">
        <v>8</v>
      </c>
      <c r="J44" s="9" t="n">
        <v>6.5</v>
      </c>
      <c r="K44" s="9" t="n">
        <v>8</v>
      </c>
      <c r="L44" s="9" t="n">
        <v>10</v>
      </c>
      <c r="M44" s="9" t="n">
        <v>5</v>
      </c>
      <c r="N44" s="9" t="n">
        <v>7</v>
      </c>
      <c r="O44" s="9" t="n">
        <v>5</v>
      </c>
      <c r="P44" s="9" t="n">
        <v>7.5</v>
      </c>
      <c r="Q44" s="9" t="n">
        <v>4.5</v>
      </c>
      <c r="R44" s="9" t="n">
        <v>4</v>
      </c>
      <c r="S44" s="10" t="s">
        <v>123</v>
      </c>
      <c r="T44" s="10" t="s">
        <v>51</v>
      </c>
      <c r="U44" s="9" t="n">
        <v>10</v>
      </c>
      <c r="V44" s="9" t="n">
        <v>10</v>
      </c>
      <c r="W44" s="10" t="s">
        <v>52</v>
      </c>
      <c r="X44" s="10"/>
      <c r="Y44" s="10" t="s">
        <v>194</v>
      </c>
    </row>
    <row r="45" customFormat="false" ht="21.75" hidden="false" customHeight="true" outlineLevel="0" collapsed="false">
      <c r="B45" s="7" t="n">
        <v>41</v>
      </c>
      <c r="C45" s="7" t="s">
        <v>195</v>
      </c>
      <c r="D45" s="7" t="s">
        <v>196</v>
      </c>
      <c r="E45" s="7" t="s">
        <v>76</v>
      </c>
      <c r="F45" s="7" t="s">
        <v>77</v>
      </c>
      <c r="G45" s="7" t="s">
        <v>103</v>
      </c>
      <c r="H45" s="7" t="n">
        <v>7.12</v>
      </c>
      <c r="I45" s="7" t="n">
        <v>8.5</v>
      </c>
      <c r="J45" s="7" t="n">
        <v>6</v>
      </c>
      <c r="K45" s="7" t="n">
        <v>8</v>
      </c>
      <c r="L45" s="7" t="n">
        <v>6.5</v>
      </c>
      <c r="M45" s="7" t="n">
        <v>6</v>
      </c>
      <c r="N45" s="7" t="n">
        <v>8</v>
      </c>
      <c r="O45" s="7" t="n">
        <v>6</v>
      </c>
      <c r="P45" s="7" t="n">
        <v>7.5</v>
      </c>
      <c r="Q45" s="7" t="n">
        <v>8</v>
      </c>
      <c r="R45" s="7" t="n">
        <v>5.5</v>
      </c>
      <c r="S45" s="8" t="s">
        <v>50</v>
      </c>
      <c r="T45" s="8" t="s">
        <v>51</v>
      </c>
      <c r="U45" s="7" t="n">
        <v>36</v>
      </c>
      <c r="V45" s="7" t="n">
        <v>30</v>
      </c>
      <c r="W45" s="8" t="s">
        <v>52</v>
      </c>
      <c r="X45" s="8"/>
      <c r="Y45" s="8" t="s">
        <v>197</v>
      </c>
    </row>
    <row r="46" customFormat="false" ht="21.75" hidden="false" customHeight="true" outlineLevel="0" collapsed="false">
      <c r="B46" s="9" t="n">
        <v>42</v>
      </c>
      <c r="C46" s="9" t="s">
        <v>198</v>
      </c>
      <c r="D46" s="9" t="s">
        <v>199</v>
      </c>
      <c r="E46" s="9" t="s">
        <v>47</v>
      </c>
      <c r="F46" s="9" t="s">
        <v>48</v>
      </c>
      <c r="G46" s="9" t="s">
        <v>49</v>
      </c>
      <c r="H46" s="9" t="n">
        <v>7.1</v>
      </c>
      <c r="I46" s="9" t="n">
        <v>8</v>
      </c>
      <c r="J46" s="9" t="n">
        <v>7.5</v>
      </c>
      <c r="K46" s="9" t="n">
        <v>7</v>
      </c>
      <c r="L46" s="9" t="n">
        <v>10</v>
      </c>
      <c r="M46" s="9" t="n">
        <v>5</v>
      </c>
      <c r="N46" s="9" t="n">
        <v>7</v>
      </c>
      <c r="O46" s="9" t="n">
        <v>3.5</v>
      </c>
      <c r="P46" s="9" t="n">
        <v>7.5</v>
      </c>
      <c r="Q46" s="9" t="n">
        <v>4.5</v>
      </c>
      <c r="R46" s="9" t="n">
        <v>4</v>
      </c>
      <c r="S46" s="10" t="s">
        <v>123</v>
      </c>
      <c r="T46" s="10" t="s">
        <v>51</v>
      </c>
      <c r="U46" s="9" t="n">
        <v>10</v>
      </c>
      <c r="V46" s="9" t="n">
        <v>10</v>
      </c>
      <c r="W46" s="10" t="s">
        <v>52</v>
      </c>
      <c r="X46" s="10"/>
      <c r="Y46" s="10" t="s">
        <v>200</v>
      </c>
    </row>
    <row r="47" customFormat="false" ht="21.75" hidden="false" customHeight="true" outlineLevel="0" collapsed="false">
      <c r="B47" s="7" t="n">
        <v>43</v>
      </c>
      <c r="C47" s="7" t="s">
        <v>201</v>
      </c>
      <c r="D47" s="7" t="s">
        <v>202</v>
      </c>
      <c r="E47" s="7" t="s">
        <v>76</v>
      </c>
      <c r="F47" s="7" t="s">
        <v>77</v>
      </c>
      <c r="G47" s="7" t="s">
        <v>49</v>
      </c>
      <c r="H47" s="7" t="n">
        <v>7.1</v>
      </c>
      <c r="I47" s="7" t="n">
        <v>8.5</v>
      </c>
      <c r="J47" s="7" t="n">
        <v>7</v>
      </c>
      <c r="K47" s="7" t="n">
        <v>7.5</v>
      </c>
      <c r="L47" s="7" t="n">
        <v>6.5</v>
      </c>
      <c r="M47" s="7" t="n">
        <v>6</v>
      </c>
      <c r="N47" s="7" t="n">
        <v>8</v>
      </c>
      <c r="O47" s="7" t="n">
        <v>6</v>
      </c>
      <c r="P47" s="7" t="n">
        <v>7.5</v>
      </c>
      <c r="Q47" s="7" t="n">
        <v>7</v>
      </c>
      <c r="R47" s="7" t="n">
        <v>4</v>
      </c>
      <c r="S47" s="8" t="s">
        <v>50</v>
      </c>
      <c r="T47" s="8" t="s">
        <v>51</v>
      </c>
      <c r="U47" s="7" t="n">
        <v>36</v>
      </c>
      <c r="V47" s="7" t="n">
        <v>30</v>
      </c>
      <c r="W47" s="8" t="s">
        <v>52</v>
      </c>
      <c r="X47" s="8"/>
      <c r="Y47" s="8" t="s">
        <v>203</v>
      </c>
    </row>
    <row r="48" customFormat="false" ht="21.75" hidden="false" customHeight="true" outlineLevel="0" collapsed="false">
      <c r="B48" s="9" t="n">
        <v>44</v>
      </c>
      <c r="C48" s="9" t="s">
        <v>204</v>
      </c>
      <c r="D48" s="9" t="s">
        <v>205</v>
      </c>
      <c r="E48" s="9" t="s">
        <v>94</v>
      </c>
      <c r="F48" s="9" t="s">
        <v>95</v>
      </c>
      <c r="G48" s="9" t="s">
        <v>61</v>
      </c>
      <c r="H48" s="9" t="n">
        <v>7.1</v>
      </c>
      <c r="I48" s="9" t="n">
        <v>8</v>
      </c>
      <c r="J48" s="9" t="n">
        <v>5</v>
      </c>
      <c r="K48" s="9" t="n">
        <v>7</v>
      </c>
      <c r="L48" s="9" t="n">
        <v>10</v>
      </c>
      <c r="M48" s="9" t="n">
        <v>4</v>
      </c>
      <c r="N48" s="9" t="n">
        <v>9</v>
      </c>
      <c r="O48" s="9" t="n">
        <v>4</v>
      </c>
      <c r="P48" s="9" t="n">
        <v>10</v>
      </c>
      <c r="Q48" s="9" t="n">
        <v>7</v>
      </c>
      <c r="R48" s="9" t="n">
        <v>4</v>
      </c>
      <c r="S48" s="10" t="s">
        <v>50</v>
      </c>
      <c r="T48" s="10" t="s">
        <v>51</v>
      </c>
      <c r="U48" s="9" t="n">
        <v>8</v>
      </c>
      <c r="V48" s="9" t="n">
        <v>10</v>
      </c>
      <c r="W48" s="10" t="s">
        <v>52</v>
      </c>
      <c r="X48" s="10" t="s">
        <v>206</v>
      </c>
      <c r="Y48" s="10" t="s">
        <v>207</v>
      </c>
    </row>
    <row r="49" customFormat="false" ht="21.75" hidden="false" customHeight="true" outlineLevel="0" collapsed="false">
      <c r="B49" s="7" t="n">
        <v>45</v>
      </c>
      <c r="C49" s="7" t="s">
        <v>208</v>
      </c>
      <c r="D49" s="7" t="s">
        <v>209</v>
      </c>
      <c r="E49" s="7" t="s">
        <v>89</v>
      </c>
      <c r="F49" s="7" t="s">
        <v>90</v>
      </c>
      <c r="G49" s="7" t="s">
        <v>49</v>
      </c>
      <c r="H49" s="7" t="n">
        <v>7.05</v>
      </c>
      <c r="I49" s="7" t="n">
        <v>6</v>
      </c>
      <c r="J49" s="7" t="n">
        <v>7.5</v>
      </c>
      <c r="K49" s="7" t="n">
        <v>9</v>
      </c>
      <c r="L49" s="7" t="n">
        <v>8.5</v>
      </c>
      <c r="M49" s="7" t="n">
        <v>6.5</v>
      </c>
      <c r="N49" s="7" t="n">
        <v>7</v>
      </c>
      <c r="O49" s="7" t="n">
        <v>7</v>
      </c>
      <c r="P49" s="7" t="n">
        <v>6</v>
      </c>
      <c r="Q49" s="7" t="n">
        <v>7</v>
      </c>
      <c r="R49" s="7" t="n">
        <v>4</v>
      </c>
      <c r="S49" s="8" t="s">
        <v>56</v>
      </c>
      <c r="T49" s="8" t="s">
        <v>56</v>
      </c>
      <c r="U49" s="7" t="n">
        <v>12</v>
      </c>
      <c r="V49" s="7" t="n">
        <v>10</v>
      </c>
      <c r="W49" s="8" t="s">
        <v>52</v>
      </c>
      <c r="X49" s="8"/>
      <c r="Y49" s="8" t="s">
        <v>210</v>
      </c>
    </row>
    <row r="50" customFormat="false" ht="21.75" hidden="false" customHeight="true" outlineLevel="0" collapsed="false">
      <c r="B50" s="9" t="n">
        <v>46</v>
      </c>
      <c r="C50" s="9" t="s">
        <v>211</v>
      </c>
      <c r="D50" s="9" t="s">
        <v>212</v>
      </c>
      <c r="E50" s="9" t="s">
        <v>76</v>
      </c>
      <c r="F50" s="9" t="s">
        <v>77</v>
      </c>
      <c r="G50" s="9" t="s">
        <v>49</v>
      </c>
      <c r="H50" s="9" t="n">
        <v>7.05</v>
      </c>
      <c r="I50" s="9" t="n">
        <v>8.5</v>
      </c>
      <c r="J50" s="9" t="n">
        <v>6</v>
      </c>
      <c r="K50" s="9" t="n">
        <v>9</v>
      </c>
      <c r="L50" s="9" t="n">
        <v>6.5</v>
      </c>
      <c r="M50" s="9" t="n">
        <v>7</v>
      </c>
      <c r="N50" s="9" t="n">
        <v>9</v>
      </c>
      <c r="O50" s="9" t="n">
        <v>3.5</v>
      </c>
      <c r="P50" s="9" t="n">
        <v>7.5</v>
      </c>
      <c r="Q50" s="9" t="n">
        <v>4.5</v>
      </c>
      <c r="R50" s="9" t="n">
        <v>4</v>
      </c>
      <c r="S50" s="10" t="s">
        <v>56</v>
      </c>
      <c r="T50" s="10" t="s">
        <v>56</v>
      </c>
      <c r="U50" s="9" t="n">
        <v>36</v>
      </c>
      <c r="V50" s="9" t="n">
        <v>30</v>
      </c>
      <c r="W50" s="10" t="s">
        <v>52</v>
      </c>
      <c r="X50" s="10"/>
      <c r="Y50" s="10" t="s">
        <v>213</v>
      </c>
    </row>
    <row r="51" customFormat="false" ht="21.75" hidden="false" customHeight="true" outlineLevel="0" collapsed="false">
      <c r="B51" s="7" t="n">
        <v>47</v>
      </c>
      <c r="C51" s="7" t="s">
        <v>214</v>
      </c>
      <c r="D51" s="7" t="s">
        <v>215</v>
      </c>
      <c r="E51" s="7" t="s">
        <v>47</v>
      </c>
      <c r="F51" s="7" t="s">
        <v>48</v>
      </c>
      <c r="G51" s="7" t="s">
        <v>49</v>
      </c>
      <c r="H51" s="7" t="n">
        <v>7.03</v>
      </c>
      <c r="I51" s="7" t="n">
        <v>8</v>
      </c>
      <c r="J51" s="7" t="n">
        <v>8</v>
      </c>
      <c r="K51" s="7" t="n">
        <v>7</v>
      </c>
      <c r="L51" s="7" t="n">
        <v>8</v>
      </c>
      <c r="M51" s="7" t="n">
        <v>6</v>
      </c>
      <c r="N51" s="7" t="n">
        <v>7</v>
      </c>
      <c r="O51" s="7" t="n">
        <v>3.5</v>
      </c>
      <c r="P51" s="7" t="n">
        <v>6</v>
      </c>
      <c r="Q51" s="7" t="n">
        <v>7</v>
      </c>
      <c r="R51" s="7" t="n">
        <v>4</v>
      </c>
      <c r="S51" s="8" t="s">
        <v>123</v>
      </c>
      <c r="T51" s="8" t="s">
        <v>51</v>
      </c>
      <c r="U51" s="7" t="n">
        <v>12</v>
      </c>
      <c r="V51" s="7" t="n">
        <v>10</v>
      </c>
      <c r="W51" s="8" t="s">
        <v>52</v>
      </c>
      <c r="X51" s="8"/>
      <c r="Y51" s="8" t="s">
        <v>216</v>
      </c>
    </row>
    <row r="52" customFormat="false" ht="21.75" hidden="false" customHeight="true" outlineLevel="0" collapsed="false">
      <c r="B52" s="9" t="n">
        <v>48</v>
      </c>
      <c r="C52" s="9" t="s">
        <v>217</v>
      </c>
      <c r="D52" s="9" t="s">
        <v>218</v>
      </c>
      <c r="E52" s="9" t="s">
        <v>47</v>
      </c>
      <c r="F52" s="9" t="s">
        <v>48</v>
      </c>
      <c r="G52" s="9" t="s">
        <v>49</v>
      </c>
      <c r="H52" s="9" t="n">
        <v>7.03</v>
      </c>
      <c r="I52" s="9" t="n">
        <v>7</v>
      </c>
      <c r="J52" s="9" t="n">
        <v>7.5</v>
      </c>
      <c r="K52" s="9" t="n">
        <v>7</v>
      </c>
      <c r="L52" s="9" t="n">
        <v>8.5</v>
      </c>
      <c r="M52" s="9" t="n">
        <v>6.5</v>
      </c>
      <c r="N52" s="9" t="n">
        <v>7</v>
      </c>
      <c r="O52" s="9" t="n">
        <v>3.5</v>
      </c>
      <c r="P52" s="9" t="n">
        <v>9.5</v>
      </c>
      <c r="Q52" s="9" t="n">
        <v>4.5</v>
      </c>
      <c r="R52" s="9" t="n">
        <v>6</v>
      </c>
      <c r="S52" s="10" t="s">
        <v>56</v>
      </c>
      <c r="T52" s="10" t="s">
        <v>56</v>
      </c>
      <c r="U52" s="9" t="n">
        <v>12</v>
      </c>
      <c r="V52" s="9" t="n">
        <v>10</v>
      </c>
      <c r="W52" s="10" t="s">
        <v>52</v>
      </c>
      <c r="X52" s="10"/>
      <c r="Y52" s="10" t="s">
        <v>219</v>
      </c>
    </row>
    <row r="53" customFormat="false" ht="21.75" hidden="false" customHeight="true" outlineLevel="0" collapsed="false">
      <c r="B53" s="7" t="n">
        <v>49</v>
      </c>
      <c r="C53" s="7" t="s">
        <v>220</v>
      </c>
      <c r="D53" s="7" t="s">
        <v>221</v>
      </c>
      <c r="E53" s="7" t="s">
        <v>89</v>
      </c>
      <c r="F53" s="7" t="s">
        <v>90</v>
      </c>
      <c r="G53" s="7" t="s">
        <v>49</v>
      </c>
      <c r="H53" s="7" t="n">
        <v>7.03</v>
      </c>
      <c r="I53" s="7" t="n">
        <v>7</v>
      </c>
      <c r="J53" s="7" t="n">
        <v>8.5</v>
      </c>
      <c r="K53" s="7" t="n">
        <v>5</v>
      </c>
      <c r="L53" s="7" t="n">
        <v>8.5</v>
      </c>
      <c r="M53" s="7" t="n">
        <v>7.5</v>
      </c>
      <c r="N53" s="7" t="n">
        <v>7</v>
      </c>
      <c r="O53" s="7" t="n">
        <v>6.5</v>
      </c>
      <c r="P53" s="7" t="n">
        <v>7.5</v>
      </c>
      <c r="Q53" s="7" t="n">
        <v>4.5</v>
      </c>
      <c r="R53" s="7" t="n">
        <v>4</v>
      </c>
      <c r="S53" s="8" t="s">
        <v>55</v>
      </c>
      <c r="T53" s="8" t="s">
        <v>56</v>
      </c>
      <c r="U53" s="7" t="n">
        <v>12</v>
      </c>
      <c r="V53" s="7" t="n">
        <v>10</v>
      </c>
      <c r="W53" s="8" t="s">
        <v>52</v>
      </c>
      <c r="X53" s="8"/>
      <c r="Y53" s="8" t="s">
        <v>222</v>
      </c>
    </row>
    <row r="54" customFormat="false" ht="21.75" hidden="false" customHeight="true" outlineLevel="0" collapsed="false">
      <c r="B54" s="9" t="n">
        <v>50</v>
      </c>
      <c r="C54" s="9" t="s">
        <v>223</v>
      </c>
      <c r="D54" s="9" t="s">
        <v>224</v>
      </c>
      <c r="E54" s="9" t="s">
        <v>89</v>
      </c>
      <c r="F54" s="9" t="s">
        <v>90</v>
      </c>
      <c r="G54" s="9" t="s">
        <v>49</v>
      </c>
      <c r="H54" s="9" t="n">
        <v>7.03</v>
      </c>
      <c r="I54" s="9" t="n">
        <v>6.5</v>
      </c>
      <c r="J54" s="9" t="n">
        <v>8</v>
      </c>
      <c r="K54" s="9" t="n">
        <v>8</v>
      </c>
      <c r="L54" s="9" t="n">
        <v>8.5</v>
      </c>
      <c r="M54" s="9" t="n">
        <v>7</v>
      </c>
      <c r="N54" s="9" t="n">
        <v>7</v>
      </c>
      <c r="O54" s="9" t="n">
        <v>6.5</v>
      </c>
      <c r="P54" s="9" t="n">
        <v>6</v>
      </c>
      <c r="Q54" s="9" t="n">
        <v>4.5</v>
      </c>
      <c r="R54" s="9" t="n">
        <v>4</v>
      </c>
      <c r="S54" s="10" t="s">
        <v>55</v>
      </c>
      <c r="T54" s="10" t="s">
        <v>56</v>
      </c>
      <c r="U54" s="9" t="n">
        <v>12</v>
      </c>
      <c r="V54" s="9" t="n">
        <v>10</v>
      </c>
      <c r="W54" s="10" t="s">
        <v>52</v>
      </c>
      <c r="X54" s="10"/>
      <c r="Y54" s="10" t="s">
        <v>225</v>
      </c>
    </row>
    <row r="55" customFormat="false" ht="21.75" hidden="false" customHeight="true" outlineLevel="0" collapsed="false">
      <c r="B55" s="7" t="n">
        <v>51</v>
      </c>
      <c r="C55" s="7" t="s">
        <v>226</v>
      </c>
      <c r="D55" s="7" t="s">
        <v>227</v>
      </c>
      <c r="E55" s="7" t="s">
        <v>47</v>
      </c>
      <c r="F55" s="7" t="s">
        <v>48</v>
      </c>
      <c r="G55" s="7" t="s">
        <v>61</v>
      </c>
      <c r="H55" s="7" t="n">
        <v>7</v>
      </c>
      <c r="I55" s="7" t="n">
        <v>8</v>
      </c>
      <c r="J55" s="7" t="n">
        <v>5</v>
      </c>
      <c r="K55" s="7" t="n">
        <v>7</v>
      </c>
      <c r="L55" s="7" t="n">
        <v>10</v>
      </c>
      <c r="M55" s="7" t="n">
        <v>4</v>
      </c>
      <c r="N55" s="7" t="n">
        <v>9</v>
      </c>
      <c r="O55" s="7" t="n">
        <v>4</v>
      </c>
      <c r="P55" s="7" t="n">
        <v>10</v>
      </c>
      <c r="Q55" s="7" t="n">
        <v>6</v>
      </c>
      <c r="R55" s="7" t="n">
        <v>3</v>
      </c>
      <c r="S55" s="8" t="s">
        <v>50</v>
      </c>
      <c r="T55" s="8" t="s">
        <v>51</v>
      </c>
      <c r="U55" s="7" t="n">
        <v>10</v>
      </c>
      <c r="V55" s="7" t="n">
        <v>10</v>
      </c>
      <c r="W55" s="8" t="s">
        <v>52</v>
      </c>
      <c r="X55" s="8" t="s">
        <v>228</v>
      </c>
      <c r="Y55" s="8" t="s">
        <v>229</v>
      </c>
    </row>
    <row r="56" customFormat="false" ht="21.75" hidden="false" customHeight="true" outlineLevel="0" collapsed="false">
      <c r="B56" s="9" t="n">
        <v>52</v>
      </c>
      <c r="C56" s="9" t="s">
        <v>230</v>
      </c>
      <c r="D56" s="9" t="s">
        <v>231</v>
      </c>
      <c r="E56" s="9" t="s">
        <v>89</v>
      </c>
      <c r="F56" s="9" t="s">
        <v>90</v>
      </c>
      <c r="G56" s="9" t="s">
        <v>61</v>
      </c>
      <c r="H56" s="9" t="n">
        <v>7</v>
      </c>
      <c r="I56" s="9" t="n">
        <v>6</v>
      </c>
      <c r="J56" s="9" t="n">
        <v>8</v>
      </c>
      <c r="K56" s="9" t="n">
        <v>4</v>
      </c>
      <c r="L56" s="9" t="n">
        <v>9</v>
      </c>
      <c r="M56" s="9" t="n">
        <v>7</v>
      </c>
      <c r="N56" s="9" t="n">
        <v>8</v>
      </c>
      <c r="O56" s="9" t="n">
        <v>6</v>
      </c>
      <c r="P56" s="9" t="n">
        <v>8</v>
      </c>
      <c r="Q56" s="9" t="n">
        <v>8</v>
      </c>
      <c r="R56" s="9" t="n">
        <v>5</v>
      </c>
      <c r="S56" s="10" t="s">
        <v>55</v>
      </c>
      <c r="T56" s="10" t="s">
        <v>56</v>
      </c>
      <c r="U56" s="9" t="n">
        <v>35</v>
      </c>
      <c r="V56" s="9" t="n">
        <v>25</v>
      </c>
      <c r="W56" s="10" t="s">
        <v>57</v>
      </c>
      <c r="X56" s="10" t="s">
        <v>232</v>
      </c>
      <c r="Y56" s="10" t="s">
        <v>233</v>
      </c>
    </row>
    <row r="57" customFormat="false" ht="21.75" hidden="false" customHeight="true" outlineLevel="0" collapsed="false">
      <c r="B57" s="7" t="n">
        <v>53</v>
      </c>
      <c r="C57" s="7" t="s">
        <v>234</v>
      </c>
      <c r="D57" s="7" t="s">
        <v>235</v>
      </c>
      <c r="E57" s="7" t="s">
        <v>89</v>
      </c>
      <c r="F57" s="7" t="s">
        <v>90</v>
      </c>
      <c r="G57" s="7" t="s">
        <v>49</v>
      </c>
      <c r="H57" s="7" t="n">
        <v>6.98</v>
      </c>
      <c r="I57" s="7" t="n">
        <v>6.5</v>
      </c>
      <c r="J57" s="7" t="n">
        <v>8</v>
      </c>
      <c r="K57" s="7" t="n">
        <v>8</v>
      </c>
      <c r="L57" s="7" t="n">
        <v>8.5</v>
      </c>
      <c r="M57" s="7" t="n">
        <v>6</v>
      </c>
      <c r="N57" s="7" t="n">
        <v>7</v>
      </c>
      <c r="O57" s="7" t="n">
        <v>6</v>
      </c>
      <c r="P57" s="7" t="n">
        <v>7.5</v>
      </c>
      <c r="Q57" s="7" t="n">
        <v>4.5</v>
      </c>
      <c r="R57" s="7" t="n">
        <v>4</v>
      </c>
      <c r="S57" s="8" t="s">
        <v>123</v>
      </c>
      <c r="T57" s="8" t="s">
        <v>51</v>
      </c>
      <c r="U57" s="7" t="n">
        <v>12</v>
      </c>
      <c r="V57" s="7" t="n">
        <v>10</v>
      </c>
      <c r="W57" s="8" t="s">
        <v>52</v>
      </c>
      <c r="X57" s="8"/>
      <c r="Y57" s="8" t="s">
        <v>236</v>
      </c>
    </row>
    <row r="58" customFormat="false" ht="21.75" hidden="false" customHeight="true" outlineLevel="0" collapsed="false">
      <c r="B58" s="9" t="n">
        <v>54</v>
      </c>
      <c r="C58" s="9" t="s">
        <v>237</v>
      </c>
      <c r="D58" s="9" t="s">
        <v>238</v>
      </c>
      <c r="E58" s="9" t="s">
        <v>94</v>
      </c>
      <c r="F58" s="9" t="s">
        <v>95</v>
      </c>
      <c r="G58" s="9" t="s">
        <v>49</v>
      </c>
      <c r="H58" s="9" t="n">
        <v>6.98</v>
      </c>
      <c r="I58" s="9" t="n">
        <v>7.5</v>
      </c>
      <c r="J58" s="9" t="n">
        <v>6</v>
      </c>
      <c r="K58" s="9" t="n">
        <v>7</v>
      </c>
      <c r="L58" s="9" t="n">
        <v>10</v>
      </c>
      <c r="M58" s="9" t="n">
        <v>5</v>
      </c>
      <c r="N58" s="9" t="n">
        <v>7</v>
      </c>
      <c r="O58" s="9" t="n">
        <v>3.5</v>
      </c>
      <c r="P58" s="9" t="n">
        <v>9.5</v>
      </c>
      <c r="Q58" s="9" t="n">
        <v>4.5</v>
      </c>
      <c r="R58" s="9" t="n">
        <v>6</v>
      </c>
      <c r="S58" s="10" t="s">
        <v>123</v>
      </c>
      <c r="T58" s="10" t="s">
        <v>51</v>
      </c>
      <c r="U58" s="9" t="n">
        <v>10</v>
      </c>
      <c r="V58" s="9" t="n">
        <v>10</v>
      </c>
      <c r="W58" s="10" t="s">
        <v>52</v>
      </c>
      <c r="X58" s="10" t="s">
        <v>239</v>
      </c>
      <c r="Y58" s="10" t="s">
        <v>240</v>
      </c>
    </row>
    <row r="59" customFormat="false" ht="21.75" hidden="false" customHeight="true" outlineLevel="0" collapsed="false">
      <c r="B59" s="7" t="n">
        <v>55</v>
      </c>
      <c r="C59" s="7" t="s">
        <v>241</v>
      </c>
      <c r="D59" s="7" t="s">
        <v>242</v>
      </c>
      <c r="E59" s="7" t="s">
        <v>94</v>
      </c>
      <c r="F59" s="7" t="s">
        <v>95</v>
      </c>
      <c r="G59" s="7" t="s">
        <v>61</v>
      </c>
      <c r="H59" s="7" t="n">
        <v>6.95</v>
      </c>
      <c r="I59" s="7" t="n">
        <v>8</v>
      </c>
      <c r="J59" s="7" t="n">
        <v>4</v>
      </c>
      <c r="K59" s="7" t="n">
        <v>9</v>
      </c>
      <c r="L59" s="7" t="n">
        <v>10</v>
      </c>
      <c r="M59" s="7" t="n">
        <v>4</v>
      </c>
      <c r="N59" s="7" t="n">
        <v>8</v>
      </c>
      <c r="O59" s="7" t="n">
        <v>3</v>
      </c>
      <c r="P59" s="7" t="n">
        <v>10</v>
      </c>
      <c r="Q59" s="7" t="n">
        <v>7</v>
      </c>
      <c r="R59" s="7" t="n">
        <v>3</v>
      </c>
      <c r="S59" s="8" t="s">
        <v>50</v>
      </c>
      <c r="T59" s="8" t="s">
        <v>51</v>
      </c>
      <c r="U59" s="7" t="n">
        <v>6</v>
      </c>
      <c r="V59" s="7" t="n">
        <v>10</v>
      </c>
      <c r="W59" s="8" t="s">
        <v>52</v>
      </c>
      <c r="X59" s="8" t="s">
        <v>243</v>
      </c>
      <c r="Y59" s="8" t="s">
        <v>244</v>
      </c>
    </row>
    <row r="60" customFormat="false" ht="21.75" hidden="false" customHeight="true" outlineLevel="0" collapsed="false">
      <c r="B60" s="9" t="n">
        <v>56</v>
      </c>
      <c r="C60" s="9" t="s">
        <v>245</v>
      </c>
      <c r="D60" s="9" t="s">
        <v>246</v>
      </c>
      <c r="E60" s="9" t="s">
        <v>94</v>
      </c>
      <c r="F60" s="9" t="s">
        <v>95</v>
      </c>
      <c r="G60" s="9" t="s">
        <v>49</v>
      </c>
      <c r="H60" s="9" t="n">
        <v>6.92</v>
      </c>
      <c r="I60" s="9" t="n">
        <v>6.5</v>
      </c>
      <c r="J60" s="9" t="n">
        <v>6</v>
      </c>
      <c r="K60" s="9" t="n">
        <v>7</v>
      </c>
      <c r="L60" s="9" t="n">
        <v>10</v>
      </c>
      <c r="M60" s="9" t="n">
        <v>6.5</v>
      </c>
      <c r="N60" s="9" t="n">
        <v>7</v>
      </c>
      <c r="O60" s="9" t="n">
        <v>5.5</v>
      </c>
      <c r="P60" s="9" t="n">
        <v>6</v>
      </c>
      <c r="Q60" s="9" t="n">
        <v>8</v>
      </c>
      <c r="R60" s="9" t="n">
        <v>4</v>
      </c>
      <c r="S60" s="10" t="s">
        <v>56</v>
      </c>
      <c r="T60" s="10" t="s">
        <v>56</v>
      </c>
      <c r="U60" s="9" t="n">
        <v>10</v>
      </c>
      <c r="V60" s="9" t="n">
        <v>10</v>
      </c>
      <c r="W60" s="10" t="s">
        <v>52</v>
      </c>
      <c r="X60" s="10" t="s">
        <v>247</v>
      </c>
      <c r="Y60" s="10" t="s">
        <v>248</v>
      </c>
    </row>
    <row r="61" customFormat="false" ht="21.75" hidden="false" customHeight="true" outlineLevel="0" collapsed="false">
      <c r="B61" s="7" t="n">
        <v>57</v>
      </c>
      <c r="C61" s="7" t="s">
        <v>249</v>
      </c>
      <c r="D61" s="7" t="s">
        <v>250</v>
      </c>
      <c r="E61" s="7" t="s">
        <v>76</v>
      </c>
      <c r="F61" s="7" t="s">
        <v>77</v>
      </c>
      <c r="G61" s="7" t="s">
        <v>49</v>
      </c>
      <c r="H61" s="7" t="n">
        <v>6.9</v>
      </c>
      <c r="I61" s="7" t="n">
        <v>8</v>
      </c>
      <c r="J61" s="7" t="n">
        <v>5</v>
      </c>
      <c r="K61" s="7" t="n">
        <v>8</v>
      </c>
      <c r="L61" s="7" t="n">
        <v>6.5</v>
      </c>
      <c r="M61" s="7" t="n">
        <v>6.5</v>
      </c>
      <c r="N61" s="7" t="n">
        <v>8</v>
      </c>
      <c r="O61" s="7" t="n">
        <v>6</v>
      </c>
      <c r="P61" s="7" t="n">
        <v>7.5</v>
      </c>
      <c r="Q61" s="7" t="n">
        <v>9</v>
      </c>
      <c r="R61" s="7" t="n">
        <v>4</v>
      </c>
      <c r="S61" s="8" t="s">
        <v>56</v>
      </c>
      <c r="T61" s="8" t="s">
        <v>56</v>
      </c>
      <c r="U61" s="7" t="n">
        <v>36</v>
      </c>
      <c r="V61" s="7" t="n">
        <v>30</v>
      </c>
      <c r="W61" s="8" t="s">
        <v>52</v>
      </c>
      <c r="X61" s="8"/>
      <c r="Y61" s="8" t="s">
        <v>251</v>
      </c>
    </row>
    <row r="62" customFormat="false" ht="21.75" hidden="false" customHeight="true" outlineLevel="0" collapsed="false">
      <c r="B62" s="9" t="n">
        <v>58</v>
      </c>
      <c r="C62" s="9" t="s">
        <v>252</v>
      </c>
      <c r="D62" s="9" t="s">
        <v>253</v>
      </c>
      <c r="E62" s="9" t="s">
        <v>47</v>
      </c>
      <c r="F62" s="9" t="s">
        <v>48</v>
      </c>
      <c r="G62" s="9" t="s">
        <v>61</v>
      </c>
      <c r="H62" s="9" t="n">
        <v>6.9</v>
      </c>
      <c r="I62" s="9" t="n">
        <v>9</v>
      </c>
      <c r="J62" s="9" t="n">
        <v>5</v>
      </c>
      <c r="K62" s="9" t="n">
        <v>6</v>
      </c>
      <c r="L62" s="9" t="n">
        <v>10</v>
      </c>
      <c r="M62" s="9" t="n">
        <v>5</v>
      </c>
      <c r="N62" s="9" t="n">
        <v>9</v>
      </c>
      <c r="O62" s="9" t="n">
        <v>2</v>
      </c>
      <c r="P62" s="9" t="n">
        <v>8</v>
      </c>
      <c r="Q62" s="9" t="n">
        <v>5</v>
      </c>
      <c r="R62" s="9" t="n">
        <v>2</v>
      </c>
      <c r="S62" s="10" t="s">
        <v>50</v>
      </c>
      <c r="T62" s="10" t="s">
        <v>51</v>
      </c>
      <c r="U62" s="9" t="n">
        <v>12</v>
      </c>
      <c r="V62" s="9" t="n">
        <v>10</v>
      </c>
      <c r="W62" s="10" t="s">
        <v>52</v>
      </c>
      <c r="X62" s="10" t="s">
        <v>254</v>
      </c>
      <c r="Y62" s="10" t="s">
        <v>255</v>
      </c>
    </row>
    <row r="63" customFormat="false" ht="21.75" hidden="false" customHeight="true" outlineLevel="0" collapsed="false">
      <c r="B63" s="7" t="n">
        <v>59</v>
      </c>
      <c r="C63" s="7" t="s">
        <v>256</v>
      </c>
      <c r="D63" s="7" t="s">
        <v>257</v>
      </c>
      <c r="E63" s="7" t="s">
        <v>258</v>
      </c>
      <c r="F63" s="7" t="s">
        <v>259</v>
      </c>
      <c r="G63" s="7" t="s">
        <v>61</v>
      </c>
      <c r="H63" s="7" t="n">
        <v>6.9</v>
      </c>
      <c r="I63" s="7" t="n">
        <v>8</v>
      </c>
      <c r="J63" s="7" t="n">
        <v>5</v>
      </c>
      <c r="K63" s="7" t="n">
        <v>7</v>
      </c>
      <c r="L63" s="7" t="n">
        <v>7</v>
      </c>
      <c r="M63" s="7" t="n">
        <v>7</v>
      </c>
      <c r="N63" s="7" t="n">
        <v>8</v>
      </c>
      <c r="O63" s="7" t="n">
        <v>5</v>
      </c>
      <c r="P63" s="7" t="n">
        <v>6</v>
      </c>
      <c r="Q63" s="7" t="n">
        <v>9</v>
      </c>
      <c r="R63" s="7" t="n">
        <v>6</v>
      </c>
      <c r="S63" s="8" t="s">
        <v>55</v>
      </c>
      <c r="T63" s="8" t="s">
        <v>72</v>
      </c>
      <c r="U63" s="7" t="n">
        <v>60</v>
      </c>
      <c r="V63" s="7" t="n">
        <v>30</v>
      </c>
      <c r="W63" s="8" t="s">
        <v>52</v>
      </c>
      <c r="X63" s="8" t="s">
        <v>260</v>
      </c>
      <c r="Y63" s="8" t="s">
        <v>261</v>
      </c>
    </row>
    <row r="64" customFormat="false" ht="21.75" hidden="false" customHeight="true" outlineLevel="0" collapsed="false">
      <c r="B64" s="9" t="n">
        <v>60</v>
      </c>
      <c r="C64" s="9" t="s">
        <v>262</v>
      </c>
      <c r="D64" s="9" t="s">
        <v>263</v>
      </c>
      <c r="E64" s="9" t="s">
        <v>89</v>
      </c>
      <c r="F64" s="9" t="s">
        <v>90</v>
      </c>
      <c r="G64" s="9" t="s">
        <v>49</v>
      </c>
      <c r="H64" s="9" t="n">
        <v>6.88</v>
      </c>
      <c r="I64" s="9" t="n">
        <v>6.5</v>
      </c>
      <c r="J64" s="9" t="n">
        <v>7.5</v>
      </c>
      <c r="K64" s="9" t="n">
        <v>8</v>
      </c>
      <c r="L64" s="9" t="n">
        <v>8.5</v>
      </c>
      <c r="M64" s="9" t="n">
        <v>6.5</v>
      </c>
      <c r="N64" s="9" t="n">
        <v>7</v>
      </c>
      <c r="O64" s="9" t="n">
        <v>6</v>
      </c>
      <c r="P64" s="9" t="n">
        <v>6</v>
      </c>
      <c r="Q64" s="9" t="n">
        <v>4.5</v>
      </c>
      <c r="R64" s="9" t="n">
        <v>4</v>
      </c>
      <c r="S64" s="10" t="s">
        <v>56</v>
      </c>
      <c r="T64" s="10" t="s">
        <v>56</v>
      </c>
      <c r="U64" s="9" t="n">
        <v>12</v>
      </c>
      <c r="V64" s="9" t="n">
        <v>10</v>
      </c>
      <c r="W64" s="10" t="s">
        <v>52</v>
      </c>
      <c r="X64" s="10"/>
      <c r="Y64" s="10" t="s">
        <v>264</v>
      </c>
    </row>
    <row r="65" customFormat="false" ht="21.75" hidden="false" customHeight="true" outlineLevel="0" collapsed="false">
      <c r="B65" s="7" t="n">
        <v>61</v>
      </c>
      <c r="C65" s="7" t="s">
        <v>265</v>
      </c>
      <c r="D65" s="7" t="s">
        <v>266</v>
      </c>
      <c r="E65" s="7" t="s">
        <v>89</v>
      </c>
      <c r="F65" s="7" t="s">
        <v>90</v>
      </c>
      <c r="G65" s="7" t="s">
        <v>49</v>
      </c>
      <c r="H65" s="7" t="n">
        <v>6.88</v>
      </c>
      <c r="I65" s="7" t="n">
        <v>7.5</v>
      </c>
      <c r="J65" s="7" t="n">
        <v>7</v>
      </c>
      <c r="K65" s="7" t="n">
        <v>5</v>
      </c>
      <c r="L65" s="7" t="n">
        <v>8.5</v>
      </c>
      <c r="M65" s="7" t="n">
        <v>6</v>
      </c>
      <c r="N65" s="7" t="n">
        <v>7</v>
      </c>
      <c r="O65" s="7" t="n">
        <v>5</v>
      </c>
      <c r="P65" s="7" t="n">
        <v>9.5</v>
      </c>
      <c r="Q65" s="7" t="n">
        <v>4.5</v>
      </c>
      <c r="R65" s="7" t="n">
        <v>6</v>
      </c>
      <c r="S65" s="8" t="s">
        <v>123</v>
      </c>
      <c r="T65" s="8" t="s">
        <v>51</v>
      </c>
      <c r="U65" s="7" t="n">
        <v>12</v>
      </c>
      <c r="V65" s="7" t="n">
        <v>10</v>
      </c>
      <c r="W65" s="8" t="s">
        <v>52</v>
      </c>
      <c r="X65" s="8"/>
      <c r="Y65" s="8" t="s">
        <v>267</v>
      </c>
    </row>
    <row r="66" customFormat="false" ht="21.75" hidden="false" customHeight="true" outlineLevel="0" collapsed="false">
      <c r="B66" s="9" t="n">
        <v>62</v>
      </c>
      <c r="C66" s="9" t="s">
        <v>268</v>
      </c>
      <c r="D66" s="9" t="s">
        <v>269</v>
      </c>
      <c r="E66" s="9" t="s">
        <v>76</v>
      </c>
      <c r="F66" s="9" t="s">
        <v>77</v>
      </c>
      <c r="G66" s="9" t="s">
        <v>49</v>
      </c>
      <c r="H66" s="9" t="n">
        <v>6.85</v>
      </c>
      <c r="I66" s="9" t="n">
        <v>8.5</v>
      </c>
      <c r="J66" s="9" t="n">
        <v>6</v>
      </c>
      <c r="K66" s="9" t="n">
        <v>9</v>
      </c>
      <c r="L66" s="9" t="n">
        <v>6.5</v>
      </c>
      <c r="M66" s="9" t="n">
        <v>6</v>
      </c>
      <c r="N66" s="9" t="n">
        <v>6</v>
      </c>
      <c r="O66" s="9" t="n">
        <v>3.5</v>
      </c>
      <c r="P66" s="9" t="n">
        <v>7.5</v>
      </c>
      <c r="Q66" s="9" t="n">
        <v>7</v>
      </c>
      <c r="R66" s="9" t="n">
        <v>5.5</v>
      </c>
      <c r="S66" s="10" t="s">
        <v>123</v>
      </c>
      <c r="T66" s="10" t="s">
        <v>51</v>
      </c>
      <c r="U66" s="9" t="n">
        <v>36</v>
      </c>
      <c r="V66" s="9" t="n">
        <v>30</v>
      </c>
      <c r="W66" s="10" t="s">
        <v>52</v>
      </c>
      <c r="X66" s="10"/>
      <c r="Y66" s="10" t="s">
        <v>270</v>
      </c>
    </row>
    <row r="67" customFormat="false" ht="21.75" hidden="false" customHeight="true" outlineLevel="0" collapsed="false">
      <c r="B67" s="7" t="n">
        <v>63</v>
      </c>
      <c r="C67" s="7" t="s">
        <v>271</v>
      </c>
      <c r="D67" s="7" t="s">
        <v>272</v>
      </c>
      <c r="E67" s="7" t="s">
        <v>94</v>
      </c>
      <c r="F67" s="7" t="s">
        <v>95</v>
      </c>
      <c r="G67" s="7" t="s">
        <v>61</v>
      </c>
      <c r="H67" s="7" t="n">
        <v>6.85</v>
      </c>
      <c r="I67" s="7" t="n">
        <v>7</v>
      </c>
      <c r="J67" s="7" t="n">
        <v>5</v>
      </c>
      <c r="K67" s="7" t="n">
        <v>7</v>
      </c>
      <c r="L67" s="7" t="n">
        <v>10</v>
      </c>
      <c r="M67" s="7" t="n">
        <v>5</v>
      </c>
      <c r="N67" s="7" t="n">
        <v>8</v>
      </c>
      <c r="O67" s="7" t="n">
        <v>4</v>
      </c>
      <c r="P67" s="7" t="n">
        <v>10</v>
      </c>
      <c r="Q67" s="7" t="n">
        <v>6</v>
      </c>
      <c r="R67" s="7" t="n">
        <v>4</v>
      </c>
      <c r="S67" s="8" t="s">
        <v>50</v>
      </c>
      <c r="T67" s="8" t="s">
        <v>51</v>
      </c>
      <c r="U67" s="7" t="n">
        <v>10</v>
      </c>
      <c r="V67" s="7" t="n">
        <v>10</v>
      </c>
      <c r="W67" s="8" t="s">
        <v>52</v>
      </c>
      <c r="X67" s="8" t="s">
        <v>273</v>
      </c>
      <c r="Y67" s="8" t="s">
        <v>274</v>
      </c>
    </row>
    <row r="68" customFormat="false" ht="21.75" hidden="false" customHeight="true" outlineLevel="0" collapsed="false">
      <c r="B68" s="9" t="n">
        <v>64</v>
      </c>
      <c r="C68" s="9" t="s">
        <v>275</v>
      </c>
      <c r="D68" s="9" t="s">
        <v>276</v>
      </c>
      <c r="E68" s="9" t="s">
        <v>94</v>
      </c>
      <c r="F68" s="9" t="s">
        <v>95</v>
      </c>
      <c r="G68" s="9" t="s">
        <v>61</v>
      </c>
      <c r="H68" s="9" t="n">
        <v>6.85</v>
      </c>
      <c r="I68" s="9" t="n">
        <v>7</v>
      </c>
      <c r="J68" s="9" t="n">
        <v>5</v>
      </c>
      <c r="K68" s="9" t="n">
        <v>6</v>
      </c>
      <c r="L68" s="9" t="n">
        <v>10</v>
      </c>
      <c r="M68" s="9" t="n">
        <v>5</v>
      </c>
      <c r="N68" s="9" t="n">
        <v>8</v>
      </c>
      <c r="O68" s="9" t="n">
        <v>6</v>
      </c>
      <c r="P68" s="9" t="n">
        <v>10</v>
      </c>
      <c r="Q68" s="9" t="n">
        <v>7</v>
      </c>
      <c r="R68" s="9" t="n">
        <v>3</v>
      </c>
      <c r="S68" s="10" t="s">
        <v>50</v>
      </c>
      <c r="T68" s="10" t="s">
        <v>51</v>
      </c>
      <c r="U68" s="9" t="n">
        <v>16</v>
      </c>
      <c r="V68" s="9" t="n">
        <v>10</v>
      </c>
      <c r="W68" s="10" t="s">
        <v>52</v>
      </c>
      <c r="X68" s="10" t="s">
        <v>277</v>
      </c>
      <c r="Y68" s="10" t="s">
        <v>278</v>
      </c>
    </row>
    <row r="69" customFormat="false" ht="21.75" hidden="false" customHeight="true" outlineLevel="0" collapsed="false">
      <c r="B69" s="7" t="n">
        <v>65</v>
      </c>
      <c r="C69" s="7" t="s">
        <v>279</v>
      </c>
      <c r="D69" s="7" t="s">
        <v>280</v>
      </c>
      <c r="E69" s="7" t="s">
        <v>76</v>
      </c>
      <c r="F69" s="7" t="s">
        <v>77</v>
      </c>
      <c r="G69" s="7" t="s">
        <v>49</v>
      </c>
      <c r="H69" s="7" t="n">
        <v>6.83</v>
      </c>
      <c r="I69" s="7" t="n">
        <v>8.5</v>
      </c>
      <c r="J69" s="7" t="n">
        <v>6</v>
      </c>
      <c r="K69" s="7" t="n">
        <v>7</v>
      </c>
      <c r="L69" s="7" t="n">
        <v>6.5</v>
      </c>
      <c r="M69" s="7" t="n">
        <v>6</v>
      </c>
      <c r="N69" s="7" t="n">
        <v>7</v>
      </c>
      <c r="O69" s="7" t="n">
        <v>5</v>
      </c>
      <c r="P69" s="7" t="n">
        <v>7.5</v>
      </c>
      <c r="Q69" s="7" t="n">
        <v>7</v>
      </c>
      <c r="R69" s="7" t="n">
        <v>5.5</v>
      </c>
      <c r="S69" s="8" t="s">
        <v>123</v>
      </c>
      <c r="T69" s="8" t="s">
        <v>51</v>
      </c>
      <c r="U69" s="7" t="n">
        <v>36</v>
      </c>
      <c r="V69" s="7" t="n">
        <v>30</v>
      </c>
      <c r="W69" s="8" t="s">
        <v>52</v>
      </c>
      <c r="X69" s="8"/>
      <c r="Y69" s="8" t="s">
        <v>281</v>
      </c>
    </row>
    <row r="70" customFormat="false" ht="21.75" hidden="false" customHeight="true" outlineLevel="0" collapsed="false">
      <c r="B70" s="9" t="n">
        <v>66</v>
      </c>
      <c r="C70" s="9" t="s">
        <v>282</v>
      </c>
      <c r="D70" s="9" t="s">
        <v>283</v>
      </c>
      <c r="E70" s="9" t="s">
        <v>47</v>
      </c>
      <c r="F70" s="9" t="s">
        <v>48</v>
      </c>
      <c r="G70" s="9" t="s">
        <v>49</v>
      </c>
      <c r="H70" s="9" t="n">
        <v>6.8</v>
      </c>
      <c r="I70" s="9" t="n">
        <v>6</v>
      </c>
      <c r="J70" s="9" t="n">
        <v>7.5</v>
      </c>
      <c r="K70" s="9" t="n">
        <v>7</v>
      </c>
      <c r="L70" s="9" t="n">
        <v>10</v>
      </c>
      <c r="M70" s="9" t="n">
        <v>5</v>
      </c>
      <c r="N70" s="9" t="n">
        <v>8</v>
      </c>
      <c r="O70" s="9" t="n">
        <v>3.5</v>
      </c>
      <c r="P70" s="9" t="n">
        <v>7.5</v>
      </c>
      <c r="Q70" s="9" t="n">
        <v>4.5</v>
      </c>
      <c r="R70" s="9" t="n">
        <v>4</v>
      </c>
      <c r="S70" s="10" t="s">
        <v>123</v>
      </c>
      <c r="T70" s="10" t="s">
        <v>51</v>
      </c>
      <c r="U70" s="9" t="n">
        <v>10</v>
      </c>
      <c r="V70" s="9" t="n">
        <v>10</v>
      </c>
      <c r="W70" s="10" t="s">
        <v>52</v>
      </c>
      <c r="X70" s="10"/>
      <c r="Y70" s="10" t="s">
        <v>284</v>
      </c>
    </row>
    <row r="71" customFormat="false" ht="21.75" hidden="false" customHeight="true" outlineLevel="0" collapsed="false">
      <c r="B71" s="7" t="n">
        <v>67</v>
      </c>
      <c r="C71" s="7" t="s">
        <v>285</v>
      </c>
      <c r="D71" s="7" t="s">
        <v>286</v>
      </c>
      <c r="E71" s="7" t="s">
        <v>47</v>
      </c>
      <c r="F71" s="7" t="s">
        <v>48</v>
      </c>
      <c r="G71" s="7" t="s">
        <v>61</v>
      </c>
      <c r="H71" s="7" t="n">
        <v>6.8</v>
      </c>
      <c r="I71" s="7" t="n">
        <v>7</v>
      </c>
      <c r="J71" s="7" t="n">
        <v>5</v>
      </c>
      <c r="K71" s="7" t="n">
        <v>5</v>
      </c>
      <c r="L71" s="7" t="n">
        <v>10</v>
      </c>
      <c r="M71" s="7" t="n">
        <v>4</v>
      </c>
      <c r="N71" s="7" t="n">
        <v>9</v>
      </c>
      <c r="O71" s="7" t="n">
        <v>5</v>
      </c>
      <c r="P71" s="7" t="n">
        <v>10</v>
      </c>
      <c r="Q71" s="7" t="n">
        <v>8</v>
      </c>
      <c r="R71" s="7" t="n">
        <v>4</v>
      </c>
      <c r="S71" s="8" t="s">
        <v>50</v>
      </c>
      <c r="T71" s="8" t="s">
        <v>51</v>
      </c>
      <c r="U71" s="7" t="n">
        <v>8</v>
      </c>
      <c r="V71" s="7" t="n">
        <v>10</v>
      </c>
      <c r="W71" s="8" t="s">
        <v>52</v>
      </c>
      <c r="X71" s="8" t="s">
        <v>287</v>
      </c>
      <c r="Y71" s="8" t="s">
        <v>288</v>
      </c>
    </row>
    <row r="72" customFormat="false" ht="21.75" hidden="false" customHeight="true" outlineLevel="0" collapsed="false">
      <c r="B72" s="9" t="n">
        <v>68</v>
      </c>
      <c r="C72" s="9" t="s">
        <v>289</v>
      </c>
      <c r="D72" s="9" t="s">
        <v>290</v>
      </c>
      <c r="E72" s="9" t="s">
        <v>47</v>
      </c>
      <c r="F72" s="9" t="s">
        <v>48</v>
      </c>
      <c r="G72" s="9" t="s">
        <v>49</v>
      </c>
      <c r="H72" s="9" t="n">
        <v>6.78</v>
      </c>
      <c r="I72" s="9" t="n">
        <v>6.5</v>
      </c>
      <c r="J72" s="9" t="n">
        <v>6</v>
      </c>
      <c r="K72" s="9" t="n">
        <v>9</v>
      </c>
      <c r="L72" s="9" t="n">
        <v>10</v>
      </c>
      <c r="M72" s="9" t="n">
        <v>5</v>
      </c>
      <c r="N72" s="9" t="n">
        <v>7</v>
      </c>
      <c r="O72" s="9" t="n">
        <v>3.5</v>
      </c>
      <c r="P72" s="9" t="n">
        <v>7.5</v>
      </c>
      <c r="Q72" s="9" t="n">
        <v>4.5</v>
      </c>
      <c r="R72" s="9" t="n">
        <v>4</v>
      </c>
      <c r="S72" s="10" t="s">
        <v>123</v>
      </c>
      <c r="T72" s="10" t="s">
        <v>51</v>
      </c>
      <c r="U72" s="9" t="n">
        <v>10</v>
      </c>
      <c r="V72" s="9" t="n">
        <v>10</v>
      </c>
      <c r="W72" s="10" t="s">
        <v>52</v>
      </c>
      <c r="X72" s="10"/>
      <c r="Y72" s="10" t="s">
        <v>291</v>
      </c>
    </row>
    <row r="73" customFormat="false" ht="21.75" hidden="false" customHeight="true" outlineLevel="0" collapsed="false">
      <c r="B73" s="7" t="n">
        <v>69</v>
      </c>
      <c r="C73" s="7" t="s">
        <v>292</v>
      </c>
      <c r="D73" s="7" t="s">
        <v>293</v>
      </c>
      <c r="E73" s="7" t="s">
        <v>89</v>
      </c>
      <c r="F73" s="7" t="s">
        <v>90</v>
      </c>
      <c r="G73" s="7" t="s">
        <v>49</v>
      </c>
      <c r="H73" s="7" t="n">
        <v>6.78</v>
      </c>
      <c r="I73" s="7" t="n">
        <v>6.5</v>
      </c>
      <c r="J73" s="7" t="n">
        <v>8</v>
      </c>
      <c r="K73" s="7" t="n">
        <v>4</v>
      </c>
      <c r="L73" s="7" t="n">
        <v>8.5</v>
      </c>
      <c r="M73" s="7" t="n">
        <v>7.5</v>
      </c>
      <c r="N73" s="7" t="n">
        <v>7</v>
      </c>
      <c r="O73" s="7" t="n">
        <v>7</v>
      </c>
      <c r="P73" s="7" t="n">
        <v>7.5</v>
      </c>
      <c r="Q73" s="7" t="n">
        <v>4.5</v>
      </c>
      <c r="R73" s="7" t="n">
        <v>4</v>
      </c>
      <c r="S73" s="8" t="s">
        <v>55</v>
      </c>
      <c r="T73" s="8" t="s">
        <v>56</v>
      </c>
      <c r="U73" s="7" t="n">
        <v>12</v>
      </c>
      <c r="V73" s="7" t="n">
        <v>10</v>
      </c>
      <c r="W73" s="8" t="s">
        <v>52</v>
      </c>
      <c r="X73" s="8"/>
      <c r="Y73" s="8" t="s">
        <v>294</v>
      </c>
    </row>
    <row r="74" customFormat="false" ht="21.75" hidden="false" customHeight="true" outlineLevel="0" collapsed="false">
      <c r="B74" s="9" t="n">
        <v>70</v>
      </c>
      <c r="C74" s="9" t="s">
        <v>295</v>
      </c>
      <c r="D74" s="9" t="s">
        <v>296</v>
      </c>
      <c r="E74" s="9" t="s">
        <v>47</v>
      </c>
      <c r="F74" s="9" t="s">
        <v>48</v>
      </c>
      <c r="G74" s="9" t="s">
        <v>61</v>
      </c>
      <c r="H74" s="9" t="n">
        <v>6.75</v>
      </c>
      <c r="I74" s="9" t="n">
        <v>9</v>
      </c>
      <c r="J74" s="9" t="n">
        <v>4</v>
      </c>
      <c r="K74" s="9" t="n">
        <v>7</v>
      </c>
      <c r="L74" s="9" t="n">
        <v>10</v>
      </c>
      <c r="M74" s="9" t="n">
        <v>4</v>
      </c>
      <c r="N74" s="9" t="n">
        <v>9</v>
      </c>
      <c r="O74" s="9" t="n">
        <v>2</v>
      </c>
      <c r="P74" s="9" t="n">
        <v>8</v>
      </c>
      <c r="Q74" s="9" t="n">
        <v>5</v>
      </c>
      <c r="R74" s="9" t="n">
        <v>2</v>
      </c>
      <c r="S74" s="10" t="s">
        <v>50</v>
      </c>
      <c r="T74" s="10" t="s">
        <v>51</v>
      </c>
      <c r="U74" s="9" t="n">
        <v>8</v>
      </c>
      <c r="V74" s="9" t="n">
        <v>10</v>
      </c>
      <c r="W74" s="10" t="s">
        <v>52</v>
      </c>
      <c r="X74" s="10" t="s">
        <v>297</v>
      </c>
      <c r="Y74" s="10" t="s">
        <v>298</v>
      </c>
    </row>
    <row r="75" customFormat="false" ht="21.75" hidden="false" customHeight="true" outlineLevel="0" collapsed="false">
      <c r="B75" s="7" t="n">
        <v>71</v>
      </c>
      <c r="C75" s="7" t="s">
        <v>299</v>
      </c>
      <c r="D75" s="7" t="s">
        <v>300</v>
      </c>
      <c r="E75" s="7" t="s">
        <v>47</v>
      </c>
      <c r="F75" s="7" t="s">
        <v>48</v>
      </c>
      <c r="G75" s="7" t="s">
        <v>61</v>
      </c>
      <c r="H75" s="7" t="n">
        <v>6.75</v>
      </c>
      <c r="I75" s="7" t="n">
        <v>6</v>
      </c>
      <c r="J75" s="7" t="n">
        <v>7</v>
      </c>
      <c r="K75" s="7" t="n">
        <v>4</v>
      </c>
      <c r="L75" s="7" t="n">
        <v>10</v>
      </c>
      <c r="M75" s="7" t="n">
        <v>6</v>
      </c>
      <c r="N75" s="7" t="n">
        <v>8</v>
      </c>
      <c r="O75" s="7" t="n">
        <v>5</v>
      </c>
      <c r="P75" s="7" t="n">
        <v>8</v>
      </c>
      <c r="Q75" s="7" t="n">
        <v>7</v>
      </c>
      <c r="R75" s="7" t="n">
        <v>4</v>
      </c>
      <c r="S75" s="8" t="s">
        <v>56</v>
      </c>
      <c r="T75" s="8" t="s">
        <v>56</v>
      </c>
      <c r="U75" s="7" t="n">
        <v>10</v>
      </c>
      <c r="V75" s="7" t="n">
        <v>10</v>
      </c>
      <c r="W75" s="8" t="s">
        <v>52</v>
      </c>
      <c r="X75" s="8" t="s">
        <v>301</v>
      </c>
      <c r="Y75" s="8" t="s">
        <v>302</v>
      </c>
    </row>
    <row r="76" customFormat="false" ht="21.75" hidden="false" customHeight="true" outlineLevel="0" collapsed="false">
      <c r="B76" s="9" t="n">
        <v>72</v>
      </c>
      <c r="C76" s="9" t="s">
        <v>303</v>
      </c>
      <c r="D76" s="9" t="s">
        <v>304</v>
      </c>
      <c r="E76" s="9" t="s">
        <v>305</v>
      </c>
      <c r="F76" s="9" t="s">
        <v>305</v>
      </c>
      <c r="G76" s="9" t="s">
        <v>61</v>
      </c>
      <c r="H76" s="9" t="n">
        <v>6.75</v>
      </c>
      <c r="I76" s="9" t="n">
        <v>9</v>
      </c>
      <c r="J76" s="9" t="n">
        <v>4</v>
      </c>
      <c r="K76" s="9" t="n">
        <v>6</v>
      </c>
      <c r="L76" s="9" t="n">
        <v>10</v>
      </c>
      <c r="M76" s="9" t="n">
        <v>5</v>
      </c>
      <c r="N76" s="9" t="n">
        <v>9</v>
      </c>
      <c r="O76" s="9" t="n">
        <v>2</v>
      </c>
      <c r="P76" s="9" t="n">
        <v>8</v>
      </c>
      <c r="Q76" s="9" t="n">
        <v>5</v>
      </c>
      <c r="R76" s="9" t="n">
        <v>2</v>
      </c>
      <c r="S76" s="10" t="s">
        <v>50</v>
      </c>
      <c r="T76" s="10" t="s">
        <v>51</v>
      </c>
      <c r="U76" s="9" t="n">
        <v>25</v>
      </c>
      <c r="V76" s="9" t="n">
        <v>10</v>
      </c>
      <c r="W76" s="10" t="s">
        <v>52</v>
      </c>
      <c r="X76" s="10" t="s">
        <v>306</v>
      </c>
      <c r="Y76" s="10" t="s">
        <v>307</v>
      </c>
    </row>
    <row r="77" customFormat="false" ht="21.75" hidden="false" customHeight="true" outlineLevel="0" collapsed="false">
      <c r="B77" s="7" t="n">
        <v>73</v>
      </c>
      <c r="C77" s="7" t="s">
        <v>308</v>
      </c>
      <c r="D77" s="7" t="s">
        <v>309</v>
      </c>
      <c r="E77" s="7" t="s">
        <v>76</v>
      </c>
      <c r="F77" s="7" t="s">
        <v>77</v>
      </c>
      <c r="G77" s="7" t="s">
        <v>61</v>
      </c>
      <c r="H77" s="7" t="n">
        <v>6.75</v>
      </c>
      <c r="I77" s="7" t="n">
        <v>7</v>
      </c>
      <c r="J77" s="7" t="n">
        <v>6</v>
      </c>
      <c r="K77" s="7" t="n">
        <v>7</v>
      </c>
      <c r="L77" s="7" t="n">
        <v>7</v>
      </c>
      <c r="M77" s="7" t="n">
        <v>6</v>
      </c>
      <c r="N77" s="7" t="n">
        <v>8</v>
      </c>
      <c r="O77" s="7" t="n">
        <v>6</v>
      </c>
      <c r="P77" s="7" t="n">
        <v>6</v>
      </c>
      <c r="Q77" s="7" t="n">
        <v>8</v>
      </c>
      <c r="R77" s="7" t="n">
        <v>6</v>
      </c>
      <c r="S77" s="8" t="s">
        <v>55</v>
      </c>
      <c r="T77" s="8" t="s">
        <v>56</v>
      </c>
      <c r="U77" s="7" t="n">
        <v>60</v>
      </c>
      <c r="V77" s="7" t="n">
        <v>30</v>
      </c>
      <c r="W77" s="8" t="s">
        <v>52</v>
      </c>
      <c r="X77" s="8" t="s">
        <v>310</v>
      </c>
      <c r="Y77" s="8" t="s">
        <v>311</v>
      </c>
    </row>
    <row r="78" customFormat="false" ht="21.75" hidden="false" customHeight="true" outlineLevel="0" collapsed="false">
      <c r="B78" s="9" t="n">
        <v>74</v>
      </c>
      <c r="C78" s="9" t="s">
        <v>312</v>
      </c>
      <c r="D78" s="9" t="s">
        <v>313</v>
      </c>
      <c r="E78" s="9" t="s">
        <v>47</v>
      </c>
      <c r="F78" s="9" t="s">
        <v>48</v>
      </c>
      <c r="G78" s="9" t="s">
        <v>49</v>
      </c>
      <c r="H78" s="9" t="n">
        <v>6.73</v>
      </c>
      <c r="I78" s="9" t="n">
        <v>8</v>
      </c>
      <c r="J78" s="9" t="n">
        <v>7.5</v>
      </c>
      <c r="K78" s="9" t="n">
        <v>7</v>
      </c>
      <c r="L78" s="9" t="n">
        <v>8.5</v>
      </c>
      <c r="M78" s="9" t="n">
        <v>2.5</v>
      </c>
      <c r="N78" s="9" t="n">
        <v>9</v>
      </c>
      <c r="O78" s="9" t="n">
        <v>4.5</v>
      </c>
      <c r="P78" s="9" t="n">
        <v>6</v>
      </c>
      <c r="Q78" s="9" t="n">
        <v>4.5</v>
      </c>
      <c r="R78" s="9" t="n">
        <v>2.5</v>
      </c>
      <c r="S78" s="10" t="s">
        <v>50</v>
      </c>
      <c r="T78" s="10" t="s">
        <v>51</v>
      </c>
      <c r="U78" s="9" t="n">
        <v>12</v>
      </c>
      <c r="V78" s="9" t="n">
        <v>10</v>
      </c>
      <c r="W78" s="10" t="s">
        <v>52</v>
      </c>
      <c r="X78" s="10"/>
      <c r="Y78" s="10" t="s">
        <v>314</v>
      </c>
    </row>
    <row r="79" customFormat="false" ht="21.75" hidden="false" customHeight="true" outlineLevel="0" collapsed="false">
      <c r="B79" s="7" t="n">
        <v>75</v>
      </c>
      <c r="C79" s="7" t="s">
        <v>315</v>
      </c>
      <c r="D79" s="7" t="s">
        <v>316</v>
      </c>
      <c r="E79" s="7" t="s">
        <v>76</v>
      </c>
      <c r="F79" s="7" t="s">
        <v>77</v>
      </c>
      <c r="G79" s="7" t="s">
        <v>49</v>
      </c>
      <c r="H79" s="7" t="n">
        <v>6.73</v>
      </c>
      <c r="I79" s="7" t="n">
        <v>7</v>
      </c>
      <c r="J79" s="7" t="n">
        <v>8.5</v>
      </c>
      <c r="K79" s="7" t="n">
        <v>4</v>
      </c>
      <c r="L79" s="7" t="n">
        <v>6.5</v>
      </c>
      <c r="M79" s="7" t="n">
        <v>7.5</v>
      </c>
      <c r="N79" s="7" t="n">
        <v>7</v>
      </c>
      <c r="O79" s="7" t="n">
        <v>8.5</v>
      </c>
      <c r="P79" s="7" t="n">
        <v>6</v>
      </c>
      <c r="Q79" s="7" t="n">
        <v>6</v>
      </c>
      <c r="R79" s="7" t="n">
        <v>4</v>
      </c>
      <c r="S79" s="8" t="s">
        <v>55</v>
      </c>
      <c r="T79" s="8" t="s">
        <v>72</v>
      </c>
      <c r="U79" s="7" t="n">
        <v>40</v>
      </c>
      <c r="V79" s="7" t="n">
        <v>45</v>
      </c>
      <c r="W79" s="8" t="s">
        <v>52</v>
      </c>
      <c r="X79" s="8"/>
      <c r="Y79" s="8" t="s">
        <v>317</v>
      </c>
    </row>
    <row r="80" customFormat="false" ht="21.75" hidden="false" customHeight="true" outlineLevel="0" collapsed="false">
      <c r="B80" s="9" t="n">
        <v>76</v>
      </c>
      <c r="C80" s="9" t="s">
        <v>318</v>
      </c>
      <c r="D80" s="9" t="s">
        <v>319</v>
      </c>
      <c r="E80" s="9" t="s">
        <v>47</v>
      </c>
      <c r="F80" s="9" t="s">
        <v>48</v>
      </c>
      <c r="G80" s="9" t="s">
        <v>61</v>
      </c>
      <c r="H80" s="9" t="n">
        <v>6.7</v>
      </c>
      <c r="I80" s="9" t="n">
        <v>6</v>
      </c>
      <c r="J80" s="9" t="n">
        <v>6</v>
      </c>
      <c r="K80" s="9" t="n">
        <v>5</v>
      </c>
      <c r="L80" s="9" t="n">
        <v>10</v>
      </c>
      <c r="M80" s="9" t="n">
        <v>5</v>
      </c>
      <c r="N80" s="9" t="n">
        <v>8</v>
      </c>
      <c r="O80" s="9" t="n">
        <v>6</v>
      </c>
      <c r="P80" s="9" t="n">
        <v>10</v>
      </c>
      <c r="Q80" s="9" t="n">
        <v>7</v>
      </c>
      <c r="R80" s="9" t="n">
        <v>3</v>
      </c>
      <c r="S80" s="10" t="s">
        <v>56</v>
      </c>
      <c r="T80" s="10" t="s">
        <v>56</v>
      </c>
      <c r="U80" s="9" t="n">
        <v>12</v>
      </c>
      <c r="V80" s="9" t="n">
        <v>10</v>
      </c>
      <c r="W80" s="10" t="s">
        <v>52</v>
      </c>
      <c r="X80" s="10" t="s">
        <v>320</v>
      </c>
      <c r="Y80" s="10" t="s">
        <v>321</v>
      </c>
    </row>
    <row r="81" customFormat="false" ht="21.75" hidden="false" customHeight="true" outlineLevel="0" collapsed="false">
      <c r="B81" s="7" t="n">
        <v>77</v>
      </c>
      <c r="C81" s="7" t="s">
        <v>322</v>
      </c>
      <c r="D81" s="7" t="s">
        <v>323</v>
      </c>
      <c r="E81" s="7" t="s">
        <v>47</v>
      </c>
      <c r="F81" s="7" t="s">
        <v>48</v>
      </c>
      <c r="G81" s="7" t="s">
        <v>61</v>
      </c>
      <c r="H81" s="7" t="n">
        <v>6.7</v>
      </c>
      <c r="I81" s="7" t="n">
        <v>6</v>
      </c>
      <c r="J81" s="7" t="n">
        <v>7</v>
      </c>
      <c r="K81" s="7" t="n">
        <v>4</v>
      </c>
      <c r="L81" s="7" t="n">
        <v>10</v>
      </c>
      <c r="M81" s="7" t="n">
        <v>4</v>
      </c>
      <c r="N81" s="7" t="n">
        <v>9</v>
      </c>
      <c r="O81" s="7" t="n">
        <v>4</v>
      </c>
      <c r="P81" s="7" t="n">
        <v>10</v>
      </c>
      <c r="Q81" s="7" t="n">
        <v>7</v>
      </c>
      <c r="R81" s="7" t="n">
        <v>4</v>
      </c>
      <c r="S81" s="8" t="s">
        <v>123</v>
      </c>
      <c r="T81" s="8" t="s">
        <v>51</v>
      </c>
      <c r="U81" s="7" t="n">
        <v>6</v>
      </c>
      <c r="V81" s="7" t="n">
        <v>10</v>
      </c>
      <c r="W81" s="8" t="s">
        <v>52</v>
      </c>
      <c r="X81" s="8" t="s">
        <v>324</v>
      </c>
      <c r="Y81" s="8" t="s">
        <v>325</v>
      </c>
    </row>
    <row r="82" customFormat="false" ht="21.75" hidden="false" customHeight="true" outlineLevel="0" collapsed="false">
      <c r="B82" s="9" t="n">
        <v>78</v>
      </c>
      <c r="C82" s="9" t="s">
        <v>326</v>
      </c>
      <c r="D82" s="9" t="s">
        <v>327</v>
      </c>
      <c r="E82" s="9" t="s">
        <v>89</v>
      </c>
      <c r="F82" s="9" t="s">
        <v>90</v>
      </c>
      <c r="G82" s="9" t="s">
        <v>49</v>
      </c>
      <c r="H82" s="9" t="n">
        <v>6.65</v>
      </c>
      <c r="I82" s="9" t="n">
        <v>6</v>
      </c>
      <c r="J82" s="9" t="n">
        <v>7</v>
      </c>
      <c r="K82" s="9" t="n">
        <v>8</v>
      </c>
      <c r="L82" s="9" t="n">
        <v>8.5</v>
      </c>
      <c r="M82" s="9" t="n">
        <v>6.5</v>
      </c>
      <c r="N82" s="9" t="n">
        <v>5</v>
      </c>
      <c r="O82" s="9" t="n">
        <v>6.5</v>
      </c>
      <c r="P82" s="9" t="n">
        <v>6</v>
      </c>
      <c r="Q82" s="9" t="n">
        <v>7</v>
      </c>
      <c r="R82" s="9" t="n">
        <v>4</v>
      </c>
      <c r="S82" s="10" t="s">
        <v>56</v>
      </c>
      <c r="T82" s="10" t="s">
        <v>56</v>
      </c>
      <c r="U82" s="9" t="n">
        <v>12</v>
      </c>
      <c r="V82" s="9" t="n">
        <v>10</v>
      </c>
      <c r="W82" s="10" t="s">
        <v>52</v>
      </c>
      <c r="X82" s="10"/>
      <c r="Y82" s="10" t="s">
        <v>328</v>
      </c>
    </row>
    <row r="83" customFormat="false" ht="21.75" hidden="false" customHeight="true" outlineLevel="0" collapsed="false">
      <c r="B83" s="7" t="n">
        <v>79</v>
      </c>
      <c r="C83" s="7" t="s">
        <v>329</v>
      </c>
      <c r="D83" s="7" t="s">
        <v>330</v>
      </c>
      <c r="E83" s="7" t="s">
        <v>47</v>
      </c>
      <c r="F83" s="7" t="s">
        <v>48</v>
      </c>
      <c r="G83" s="7" t="s">
        <v>61</v>
      </c>
      <c r="H83" s="7" t="n">
        <v>6.65</v>
      </c>
      <c r="I83" s="7" t="n">
        <v>9</v>
      </c>
      <c r="J83" s="7" t="n">
        <v>4</v>
      </c>
      <c r="K83" s="7" t="n">
        <v>6</v>
      </c>
      <c r="L83" s="7" t="n">
        <v>10</v>
      </c>
      <c r="M83" s="7" t="n">
        <v>4</v>
      </c>
      <c r="N83" s="7" t="n">
        <v>9</v>
      </c>
      <c r="O83" s="7" t="n">
        <v>2</v>
      </c>
      <c r="P83" s="7" t="n">
        <v>8</v>
      </c>
      <c r="Q83" s="7" t="n">
        <v>5</v>
      </c>
      <c r="R83" s="7" t="n">
        <v>2</v>
      </c>
      <c r="S83" s="8" t="s">
        <v>50</v>
      </c>
      <c r="T83" s="8" t="s">
        <v>51</v>
      </c>
      <c r="U83" s="7" t="n">
        <v>8</v>
      </c>
      <c r="V83" s="7" t="n">
        <v>10</v>
      </c>
      <c r="W83" s="8" t="s">
        <v>52</v>
      </c>
      <c r="X83" s="8" t="s">
        <v>331</v>
      </c>
      <c r="Y83" s="8" t="s">
        <v>332</v>
      </c>
    </row>
    <row r="84" customFormat="false" ht="21.75" hidden="false" customHeight="true" outlineLevel="0" collapsed="false">
      <c r="B84" s="9" t="n">
        <v>80</v>
      </c>
      <c r="C84" s="9" t="s">
        <v>333</v>
      </c>
      <c r="D84" s="9" t="s">
        <v>334</v>
      </c>
      <c r="E84" s="9" t="s">
        <v>47</v>
      </c>
      <c r="F84" s="9" t="s">
        <v>48</v>
      </c>
      <c r="G84" s="9" t="s">
        <v>49</v>
      </c>
      <c r="H84" s="9" t="n">
        <v>6.62</v>
      </c>
      <c r="I84" s="9" t="n">
        <v>6</v>
      </c>
      <c r="J84" s="9" t="n">
        <v>7.5</v>
      </c>
      <c r="K84" s="9" t="n">
        <v>7</v>
      </c>
      <c r="L84" s="9" t="n">
        <v>8.5</v>
      </c>
      <c r="M84" s="9" t="n">
        <v>6.5</v>
      </c>
      <c r="N84" s="9" t="n">
        <v>7</v>
      </c>
      <c r="O84" s="9" t="n">
        <v>3.5</v>
      </c>
      <c r="P84" s="9" t="n">
        <v>7.5</v>
      </c>
      <c r="Q84" s="9" t="n">
        <v>4.5</v>
      </c>
      <c r="R84" s="9" t="n">
        <v>4</v>
      </c>
      <c r="S84" s="10" t="s">
        <v>56</v>
      </c>
      <c r="T84" s="10" t="s">
        <v>56</v>
      </c>
      <c r="U84" s="9" t="n">
        <v>12</v>
      </c>
      <c r="V84" s="9" t="n">
        <v>10</v>
      </c>
      <c r="W84" s="10" t="s">
        <v>52</v>
      </c>
      <c r="X84" s="10"/>
      <c r="Y84" s="10" t="s">
        <v>335</v>
      </c>
    </row>
    <row r="85" customFormat="false" ht="21.75" hidden="false" customHeight="true" outlineLevel="0" collapsed="false">
      <c r="B85" s="7" t="n">
        <v>81</v>
      </c>
      <c r="C85" s="7" t="s">
        <v>336</v>
      </c>
      <c r="D85" s="7" t="s">
        <v>337</v>
      </c>
      <c r="E85" s="7" t="s">
        <v>89</v>
      </c>
      <c r="F85" s="7" t="s">
        <v>90</v>
      </c>
      <c r="G85" s="7" t="s">
        <v>49</v>
      </c>
      <c r="H85" s="7" t="n">
        <v>6.62</v>
      </c>
      <c r="I85" s="7" t="n">
        <v>6.5</v>
      </c>
      <c r="J85" s="7" t="n">
        <v>7</v>
      </c>
      <c r="K85" s="7" t="n">
        <v>5</v>
      </c>
      <c r="L85" s="7" t="n">
        <v>8.5</v>
      </c>
      <c r="M85" s="7" t="n">
        <v>7</v>
      </c>
      <c r="N85" s="7" t="n">
        <v>7</v>
      </c>
      <c r="O85" s="7" t="n">
        <v>6</v>
      </c>
      <c r="P85" s="7" t="n">
        <v>7.5</v>
      </c>
      <c r="Q85" s="7" t="n">
        <v>4.5</v>
      </c>
      <c r="R85" s="7" t="n">
        <v>4</v>
      </c>
      <c r="S85" s="8" t="s">
        <v>55</v>
      </c>
      <c r="T85" s="8" t="s">
        <v>56</v>
      </c>
      <c r="U85" s="7" t="n">
        <v>12</v>
      </c>
      <c r="V85" s="7" t="n">
        <v>10</v>
      </c>
      <c r="W85" s="8" t="s">
        <v>52</v>
      </c>
      <c r="X85" s="8"/>
      <c r="Y85" s="8" t="s">
        <v>338</v>
      </c>
    </row>
    <row r="86" customFormat="false" ht="21.75" hidden="false" customHeight="true" outlineLevel="0" collapsed="false">
      <c r="B86" s="9" t="n">
        <v>82</v>
      </c>
      <c r="C86" s="9" t="s">
        <v>339</v>
      </c>
      <c r="D86" s="9" t="s">
        <v>340</v>
      </c>
      <c r="E86" s="9" t="s">
        <v>76</v>
      </c>
      <c r="F86" s="9" t="s">
        <v>77</v>
      </c>
      <c r="G86" s="9" t="s">
        <v>49</v>
      </c>
      <c r="H86" s="9" t="n">
        <v>6.62</v>
      </c>
      <c r="I86" s="9" t="n">
        <v>8.5</v>
      </c>
      <c r="J86" s="9" t="n">
        <v>5</v>
      </c>
      <c r="K86" s="9" t="n">
        <v>8</v>
      </c>
      <c r="L86" s="9" t="n">
        <v>6.5</v>
      </c>
      <c r="M86" s="9" t="n">
        <v>5</v>
      </c>
      <c r="N86" s="9" t="n">
        <v>8</v>
      </c>
      <c r="O86" s="9" t="n">
        <v>5</v>
      </c>
      <c r="P86" s="9" t="n">
        <v>6</v>
      </c>
      <c r="Q86" s="9" t="n">
        <v>7</v>
      </c>
      <c r="R86" s="9" t="n">
        <v>4</v>
      </c>
      <c r="S86" s="10" t="s">
        <v>50</v>
      </c>
      <c r="T86" s="10" t="s">
        <v>51</v>
      </c>
      <c r="U86" s="9" t="n">
        <v>40</v>
      </c>
      <c r="V86" s="9" t="n">
        <v>45</v>
      </c>
      <c r="W86" s="10" t="s">
        <v>52</v>
      </c>
      <c r="X86" s="10"/>
      <c r="Y86" s="10" t="s">
        <v>341</v>
      </c>
    </row>
    <row r="87" customFormat="false" ht="21.75" hidden="false" customHeight="true" outlineLevel="0" collapsed="false">
      <c r="B87" s="7" t="n">
        <v>83</v>
      </c>
      <c r="C87" s="7" t="s">
        <v>342</v>
      </c>
      <c r="D87" s="7" t="s">
        <v>343</v>
      </c>
      <c r="E87" s="7" t="s">
        <v>47</v>
      </c>
      <c r="F87" s="7" t="s">
        <v>48</v>
      </c>
      <c r="G87" s="7" t="s">
        <v>103</v>
      </c>
      <c r="H87" s="7" t="n">
        <v>6.6</v>
      </c>
      <c r="I87" s="7" t="n">
        <v>6.5</v>
      </c>
      <c r="J87" s="7" t="n">
        <v>8</v>
      </c>
      <c r="K87" s="7" t="n">
        <v>7</v>
      </c>
      <c r="L87" s="7" t="n">
        <v>5.5</v>
      </c>
      <c r="M87" s="7" t="n">
        <v>8</v>
      </c>
      <c r="N87" s="7" t="n">
        <v>7</v>
      </c>
      <c r="O87" s="7" t="n">
        <v>7.5</v>
      </c>
      <c r="P87" s="7" t="n">
        <v>5.5</v>
      </c>
      <c r="Q87" s="7" t="n">
        <v>4.5</v>
      </c>
      <c r="R87" s="7" t="n">
        <v>4</v>
      </c>
      <c r="S87" s="8" t="s">
        <v>55</v>
      </c>
      <c r="T87" s="8" t="s">
        <v>72</v>
      </c>
      <c r="U87" s="7" t="n">
        <v>52</v>
      </c>
      <c r="V87" s="7" t="n">
        <v>45</v>
      </c>
      <c r="W87" s="8" t="s">
        <v>57</v>
      </c>
      <c r="X87" s="8"/>
      <c r="Y87" s="8" t="s">
        <v>344</v>
      </c>
    </row>
    <row r="88" customFormat="false" ht="21.75" hidden="false" customHeight="true" outlineLevel="0" collapsed="false">
      <c r="B88" s="9" t="n">
        <v>84</v>
      </c>
      <c r="C88" s="9" t="s">
        <v>345</v>
      </c>
      <c r="D88" s="9" t="s">
        <v>346</v>
      </c>
      <c r="E88" s="9" t="s">
        <v>89</v>
      </c>
      <c r="F88" s="9" t="s">
        <v>90</v>
      </c>
      <c r="G88" s="9" t="s">
        <v>49</v>
      </c>
      <c r="H88" s="9" t="n">
        <v>6.6</v>
      </c>
      <c r="I88" s="9" t="n">
        <v>6.5</v>
      </c>
      <c r="J88" s="9" t="n">
        <v>7.5</v>
      </c>
      <c r="K88" s="9" t="n">
        <v>5</v>
      </c>
      <c r="L88" s="9" t="n">
        <v>8.5</v>
      </c>
      <c r="M88" s="9" t="n">
        <v>6.5</v>
      </c>
      <c r="N88" s="9" t="n">
        <v>7</v>
      </c>
      <c r="O88" s="9" t="n">
        <v>5</v>
      </c>
      <c r="P88" s="9" t="n">
        <v>7.5</v>
      </c>
      <c r="Q88" s="9" t="n">
        <v>4.5</v>
      </c>
      <c r="R88" s="9" t="n">
        <v>4</v>
      </c>
      <c r="S88" s="10" t="s">
        <v>56</v>
      </c>
      <c r="T88" s="10" t="s">
        <v>56</v>
      </c>
      <c r="U88" s="9" t="n">
        <v>12</v>
      </c>
      <c r="V88" s="9" t="n">
        <v>10</v>
      </c>
      <c r="W88" s="10" t="s">
        <v>52</v>
      </c>
      <c r="X88" s="10"/>
      <c r="Y88" s="10" t="s">
        <v>347</v>
      </c>
    </row>
    <row r="89" customFormat="false" ht="21.75" hidden="false" customHeight="true" outlineLevel="0" collapsed="false">
      <c r="B89" s="7" t="n">
        <v>85</v>
      </c>
      <c r="C89" s="7" t="s">
        <v>348</v>
      </c>
      <c r="D89" s="7" t="s">
        <v>349</v>
      </c>
      <c r="E89" s="7" t="s">
        <v>350</v>
      </c>
      <c r="F89" s="7" t="s">
        <v>350</v>
      </c>
      <c r="G89" s="7" t="s">
        <v>61</v>
      </c>
      <c r="H89" s="7" t="n">
        <v>6.6</v>
      </c>
      <c r="I89" s="7" t="n">
        <v>9</v>
      </c>
      <c r="J89" s="7" t="n">
        <v>3</v>
      </c>
      <c r="K89" s="7" t="n">
        <v>5</v>
      </c>
      <c r="L89" s="7" t="n">
        <v>10</v>
      </c>
      <c r="M89" s="7" t="n">
        <v>5</v>
      </c>
      <c r="N89" s="7" t="n">
        <v>9</v>
      </c>
      <c r="O89" s="7" t="n">
        <v>2</v>
      </c>
      <c r="P89" s="7" t="n">
        <v>9</v>
      </c>
      <c r="Q89" s="7" t="n">
        <v>6</v>
      </c>
      <c r="R89" s="7" t="n">
        <v>2</v>
      </c>
      <c r="S89" s="8" t="s">
        <v>50</v>
      </c>
      <c r="T89" s="8" t="s">
        <v>51</v>
      </c>
      <c r="U89" s="7" t="n">
        <v>16</v>
      </c>
      <c r="V89" s="7" t="n">
        <v>10</v>
      </c>
      <c r="W89" s="8" t="s">
        <v>52</v>
      </c>
      <c r="X89" s="8" t="s">
        <v>351</v>
      </c>
      <c r="Y89" s="8" t="s">
        <v>352</v>
      </c>
    </row>
    <row r="90" customFormat="false" ht="21.75" hidden="false" customHeight="true" outlineLevel="0" collapsed="false">
      <c r="B90" s="9" t="n">
        <v>86</v>
      </c>
      <c r="C90" s="9" t="s">
        <v>353</v>
      </c>
      <c r="D90" s="9" t="s">
        <v>354</v>
      </c>
      <c r="E90" s="9" t="s">
        <v>89</v>
      </c>
      <c r="F90" s="9" t="s">
        <v>90</v>
      </c>
      <c r="G90" s="9" t="s">
        <v>49</v>
      </c>
      <c r="H90" s="9" t="n">
        <v>6.58</v>
      </c>
      <c r="I90" s="9" t="n">
        <v>6</v>
      </c>
      <c r="J90" s="9" t="n">
        <v>7.5</v>
      </c>
      <c r="K90" s="9" t="n">
        <v>5</v>
      </c>
      <c r="L90" s="9" t="n">
        <v>8.5</v>
      </c>
      <c r="M90" s="9" t="n">
        <v>6.5</v>
      </c>
      <c r="N90" s="9" t="n">
        <v>7</v>
      </c>
      <c r="O90" s="9" t="n">
        <v>6.5</v>
      </c>
      <c r="P90" s="9" t="n">
        <v>7.5</v>
      </c>
      <c r="Q90" s="9" t="n">
        <v>4.5</v>
      </c>
      <c r="R90" s="9" t="n">
        <v>4</v>
      </c>
      <c r="S90" s="10" t="s">
        <v>56</v>
      </c>
      <c r="T90" s="10" t="s">
        <v>56</v>
      </c>
      <c r="U90" s="9" t="n">
        <v>12</v>
      </c>
      <c r="V90" s="9" t="n">
        <v>10</v>
      </c>
      <c r="W90" s="10" t="s">
        <v>52</v>
      </c>
      <c r="X90" s="10"/>
      <c r="Y90" s="10" t="s">
        <v>355</v>
      </c>
    </row>
    <row r="91" customFormat="false" ht="21.75" hidden="false" customHeight="true" outlineLevel="0" collapsed="false">
      <c r="B91" s="7" t="n">
        <v>87</v>
      </c>
      <c r="C91" s="7" t="s">
        <v>356</v>
      </c>
      <c r="D91" s="7" t="s">
        <v>357</v>
      </c>
      <c r="E91" s="7" t="s">
        <v>94</v>
      </c>
      <c r="F91" s="7" t="s">
        <v>95</v>
      </c>
      <c r="G91" s="7" t="s">
        <v>103</v>
      </c>
      <c r="H91" s="7" t="n">
        <v>6.58</v>
      </c>
      <c r="I91" s="7" t="n">
        <v>6.5</v>
      </c>
      <c r="J91" s="7" t="n">
        <v>5</v>
      </c>
      <c r="K91" s="7" t="n">
        <v>9</v>
      </c>
      <c r="L91" s="7" t="n">
        <v>8.5</v>
      </c>
      <c r="M91" s="7" t="n">
        <v>5</v>
      </c>
      <c r="N91" s="7" t="n">
        <v>7</v>
      </c>
      <c r="O91" s="7" t="n">
        <v>3.5</v>
      </c>
      <c r="P91" s="7" t="n">
        <v>7.5</v>
      </c>
      <c r="Q91" s="7" t="n">
        <v>8</v>
      </c>
      <c r="R91" s="7" t="n">
        <v>4</v>
      </c>
      <c r="S91" s="8" t="s">
        <v>123</v>
      </c>
      <c r="T91" s="8" t="s">
        <v>51</v>
      </c>
      <c r="U91" s="7" t="n">
        <v>12</v>
      </c>
      <c r="V91" s="7" t="n">
        <v>10</v>
      </c>
      <c r="W91" s="8" t="s">
        <v>52</v>
      </c>
      <c r="X91" s="8" t="s">
        <v>358</v>
      </c>
      <c r="Y91" s="8" t="s">
        <v>359</v>
      </c>
    </row>
    <row r="92" customFormat="false" ht="21.75" hidden="false" customHeight="true" outlineLevel="0" collapsed="false">
      <c r="B92" s="9" t="n">
        <v>88</v>
      </c>
      <c r="C92" s="9" t="s">
        <v>360</v>
      </c>
      <c r="D92" s="9" t="s">
        <v>361</v>
      </c>
      <c r="E92" s="9" t="s">
        <v>89</v>
      </c>
      <c r="F92" s="9" t="s">
        <v>90</v>
      </c>
      <c r="G92" s="9" t="s">
        <v>49</v>
      </c>
      <c r="H92" s="9" t="n">
        <v>6.55</v>
      </c>
      <c r="I92" s="9" t="n">
        <v>7</v>
      </c>
      <c r="J92" s="9" t="n">
        <v>7</v>
      </c>
      <c r="K92" s="9" t="n">
        <v>5</v>
      </c>
      <c r="L92" s="9" t="n">
        <v>8.5</v>
      </c>
      <c r="M92" s="9" t="n">
        <v>6</v>
      </c>
      <c r="N92" s="9" t="n">
        <v>7</v>
      </c>
      <c r="O92" s="9" t="n">
        <v>3.5</v>
      </c>
      <c r="P92" s="9" t="n">
        <v>6</v>
      </c>
      <c r="Q92" s="9" t="n">
        <v>7</v>
      </c>
      <c r="R92" s="9" t="n">
        <v>4</v>
      </c>
      <c r="S92" s="10" t="s">
        <v>123</v>
      </c>
      <c r="T92" s="10" t="s">
        <v>51</v>
      </c>
      <c r="U92" s="9" t="n">
        <v>12</v>
      </c>
      <c r="V92" s="9" t="n">
        <v>10</v>
      </c>
      <c r="W92" s="10" t="s">
        <v>52</v>
      </c>
      <c r="X92" s="10"/>
      <c r="Y92" s="10" t="s">
        <v>362</v>
      </c>
    </row>
    <row r="93" customFormat="false" ht="21.75" hidden="false" customHeight="true" outlineLevel="0" collapsed="false">
      <c r="B93" s="7" t="n">
        <v>89</v>
      </c>
      <c r="C93" s="7" t="s">
        <v>363</v>
      </c>
      <c r="D93" s="7" t="s">
        <v>364</v>
      </c>
      <c r="E93" s="7" t="s">
        <v>94</v>
      </c>
      <c r="F93" s="7" t="s">
        <v>95</v>
      </c>
      <c r="G93" s="7" t="s">
        <v>61</v>
      </c>
      <c r="H93" s="7" t="n">
        <v>6.55</v>
      </c>
      <c r="I93" s="7" t="n">
        <v>6</v>
      </c>
      <c r="J93" s="7" t="n">
        <v>5</v>
      </c>
      <c r="K93" s="7" t="n">
        <v>7</v>
      </c>
      <c r="L93" s="7" t="n">
        <v>10</v>
      </c>
      <c r="M93" s="7" t="n">
        <v>4</v>
      </c>
      <c r="N93" s="7" t="n">
        <v>8</v>
      </c>
      <c r="O93" s="7" t="n">
        <v>5</v>
      </c>
      <c r="P93" s="7" t="n">
        <v>10</v>
      </c>
      <c r="Q93" s="7" t="n">
        <v>6</v>
      </c>
      <c r="R93" s="7" t="n">
        <v>3</v>
      </c>
      <c r="S93" s="8" t="s">
        <v>123</v>
      </c>
      <c r="T93" s="8" t="s">
        <v>51</v>
      </c>
      <c r="U93" s="7" t="n">
        <v>5</v>
      </c>
      <c r="V93" s="7" t="n">
        <v>10</v>
      </c>
      <c r="W93" s="8" t="s">
        <v>52</v>
      </c>
      <c r="X93" s="8" t="s">
        <v>365</v>
      </c>
      <c r="Y93" s="8" t="s">
        <v>366</v>
      </c>
    </row>
    <row r="94" customFormat="false" ht="21.75" hidden="false" customHeight="true" outlineLevel="0" collapsed="false">
      <c r="B94" s="9" t="n">
        <v>90</v>
      </c>
      <c r="C94" s="9" t="s">
        <v>367</v>
      </c>
      <c r="D94" s="9" t="s">
        <v>368</v>
      </c>
      <c r="E94" s="9" t="s">
        <v>47</v>
      </c>
      <c r="F94" s="9" t="s">
        <v>48</v>
      </c>
      <c r="G94" s="9" t="s">
        <v>61</v>
      </c>
      <c r="H94" s="9" t="n">
        <v>6.55</v>
      </c>
      <c r="I94" s="9" t="n">
        <v>6</v>
      </c>
      <c r="J94" s="9" t="n">
        <v>5</v>
      </c>
      <c r="K94" s="9" t="n">
        <v>5</v>
      </c>
      <c r="L94" s="9" t="n">
        <v>10</v>
      </c>
      <c r="M94" s="9" t="n">
        <v>5</v>
      </c>
      <c r="N94" s="9" t="n">
        <v>8</v>
      </c>
      <c r="O94" s="9" t="n">
        <v>5</v>
      </c>
      <c r="P94" s="9" t="n">
        <v>10</v>
      </c>
      <c r="Q94" s="9" t="n">
        <v>7</v>
      </c>
      <c r="R94" s="9" t="n">
        <v>4</v>
      </c>
      <c r="S94" s="10" t="s">
        <v>123</v>
      </c>
      <c r="T94" s="10" t="s">
        <v>51</v>
      </c>
      <c r="U94" s="9" t="n">
        <v>10</v>
      </c>
      <c r="V94" s="9" t="n">
        <v>10</v>
      </c>
      <c r="W94" s="10" t="s">
        <v>52</v>
      </c>
      <c r="X94" s="10" t="s">
        <v>369</v>
      </c>
      <c r="Y94" s="10" t="s">
        <v>370</v>
      </c>
    </row>
    <row r="95" customFormat="false" ht="21.75" hidden="false" customHeight="true" outlineLevel="0" collapsed="false">
      <c r="B95" s="7" t="n">
        <v>91</v>
      </c>
      <c r="C95" s="7" t="s">
        <v>371</v>
      </c>
      <c r="D95" s="7" t="s">
        <v>372</v>
      </c>
      <c r="E95" s="7" t="s">
        <v>47</v>
      </c>
      <c r="F95" s="7" t="s">
        <v>48</v>
      </c>
      <c r="G95" s="7" t="s">
        <v>61</v>
      </c>
      <c r="H95" s="7" t="n">
        <v>6.55</v>
      </c>
      <c r="I95" s="7" t="n">
        <v>6</v>
      </c>
      <c r="J95" s="7" t="n">
        <v>6</v>
      </c>
      <c r="K95" s="7" t="n">
        <v>4</v>
      </c>
      <c r="L95" s="7" t="n">
        <v>10</v>
      </c>
      <c r="M95" s="7" t="n">
        <v>4</v>
      </c>
      <c r="N95" s="7" t="n">
        <v>9</v>
      </c>
      <c r="O95" s="7" t="n">
        <v>4</v>
      </c>
      <c r="P95" s="7" t="n">
        <v>10</v>
      </c>
      <c r="Q95" s="7" t="n">
        <v>7</v>
      </c>
      <c r="R95" s="7" t="n">
        <v>4</v>
      </c>
      <c r="S95" s="8" t="s">
        <v>123</v>
      </c>
      <c r="T95" s="8" t="s">
        <v>51</v>
      </c>
      <c r="U95" s="7" t="n">
        <v>5</v>
      </c>
      <c r="V95" s="7" t="n">
        <v>10</v>
      </c>
      <c r="W95" s="8" t="s">
        <v>52</v>
      </c>
      <c r="X95" s="8" t="s">
        <v>373</v>
      </c>
      <c r="Y95" s="8" t="s">
        <v>374</v>
      </c>
    </row>
    <row r="96" customFormat="false" ht="21.75" hidden="false" customHeight="true" outlineLevel="0" collapsed="false">
      <c r="B96" s="9" t="n">
        <v>92</v>
      </c>
      <c r="C96" s="9" t="s">
        <v>375</v>
      </c>
      <c r="D96" s="9" t="s">
        <v>376</v>
      </c>
      <c r="E96" s="9" t="s">
        <v>94</v>
      </c>
      <c r="F96" s="9" t="s">
        <v>95</v>
      </c>
      <c r="G96" s="9" t="s">
        <v>61</v>
      </c>
      <c r="H96" s="9" t="n">
        <v>6.55</v>
      </c>
      <c r="I96" s="9" t="n">
        <v>7</v>
      </c>
      <c r="J96" s="9" t="n">
        <v>4</v>
      </c>
      <c r="K96" s="9" t="n">
        <v>7</v>
      </c>
      <c r="L96" s="9" t="n">
        <v>10</v>
      </c>
      <c r="M96" s="9" t="n">
        <v>3</v>
      </c>
      <c r="N96" s="9" t="n">
        <v>9</v>
      </c>
      <c r="O96" s="9" t="n">
        <v>4</v>
      </c>
      <c r="P96" s="9" t="n">
        <v>10</v>
      </c>
      <c r="Q96" s="9" t="n">
        <v>6</v>
      </c>
      <c r="R96" s="9" t="n">
        <v>3</v>
      </c>
      <c r="S96" s="10" t="s">
        <v>50</v>
      </c>
      <c r="T96" s="10" t="s">
        <v>51</v>
      </c>
      <c r="U96" s="9" t="n">
        <v>10</v>
      </c>
      <c r="V96" s="9" t="n">
        <v>10</v>
      </c>
      <c r="W96" s="10" t="s">
        <v>52</v>
      </c>
      <c r="X96" s="10" t="s">
        <v>377</v>
      </c>
      <c r="Y96" s="10" t="s">
        <v>378</v>
      </c>
    </row>
    <row r="97" customFormat="false" ht="21.75" hidden="false" customHeight="true" outlineLevel="0" collapsed="false">
      <c r="B97" s="7" t="n">
        <v>93</v>
      </c>
      <c r="C97" s="7" t="s">
        <v>379</v>
      </c>
      <c r="D97" s="7" t="s">
        <v>380</v>
      </c>
      <c r="E97" s="7" t="s">
        <v>94</v>
      </c>
      <c r="F97" s="7" t="s">
        <v>95</v>
      </c>
      <c r="G97" s="7" t="s">
        <v>103</v>
      </c>
      <c r="H97" s="7" t="n">
        <v>6.53</v>
      </c>
      <c r="I97" s="7" t="n">
        <v>8.5</v>
      </c>
      <c r="J97" s="7" t="n">
        <v>5</v>
      </c>
      <c r="K97" s="7" t="n">
        <v>7</v>
      </c>
      <c r="L97" s="7" t="n">
        <v>10</v>
      </c>
      <c r="M97" s="7" t="n">
        <v>5</v>
      </c>
      <c r="N97" s="7" t="n">
        <v>3.5</v>
      </c>
      <c r="O97" s="7" t="n">
        <v>1</v>
      </c>
      <c r="P97" s="7" t="n">
        <v>7.5</v>
      </c>
      <c r="Q97" s="7" t="n">
        <v>8</v>
      </c>
      <c r="R97" s="7" t="n">
        <v>4</v>
      </c>
      <c r="S97" s="8" t="s">
        <v>123</v>
      </c>
      <c r="T97" s="8" t="s">
        <v>51</v>
      </c>
      <c r="U97" s="7" t="n">
        <v>10</v>
      </c>
      <c r="V97" s="7" t="n">
        <v>10</v>
      </c>
      <c r="W97" s="8" t="s">
        <v>52</v>
      </c>
      <c r="X97" s="8" t="s">
        <v>381</v>
      </c>
      <c r="Y97" s="8" t="s">
        <v>382</v>
      </c>
    </row>
    <row r="98" customFormat="false" ht="21.75" hidden="false" customHeight="true" outlineLevel="0" collapsed="false">
      <c r="B98" s="9" t="n">
        <v>94</v>
      </c>
      <c r="C98" s="9" t="s">
        <v>383</v>
      </c>
      <c r="D98" s="9" t="s">
        <v>384</v>
      </c>
      <c r="E98" s="9" t="s">
        <v>94</v>
      </c>
      <c r="F98" s="9" t="s">
        <v>95</v>
      </c>
      <c r="G98" s="9" t="s">
        <v>49</v>
      </c>
      <c r="H98" s="9" t="n">
        <v>6.5</v>
      </c>
      <c r="I98" s="9" t="n">
        <v>8</v>
      </c>
      <c r="J98" s="9" t="n">
        <v>7</v>
      </c>
      <c r="K98" s="9" t="n">
        <v>7</v>
      </c>
      <c r="L98" s="9" t="n">
        <v>5.5</v>
      </c>
      <c r="M98" s="9" t="n">
        <v>2.5</v>
      </c>
      <c r="N98" s="9" t="n">
        <v>8.5</v>
      </c>
      <c r="O98" s="9" t="n">
        <v>8</v>
      </c>
      <c r="P98" s="9" t="n">
        <v>6</v>
      </c>
      <c r="Q98" s="9" t="n">
        <v>8</v>
      </c>
      <c r="R98" s="9" t="n">
        <v>2.5</v>
      </c>
      <c r="S98" s="10" t="s">
        <v>50</v>
      </c>
      <c r="T98" s="10" t="s">
        <v>51</v>
      </c>
      <c r="U98" s="9" t="n">
        <v>52</v>
      </c>
      <c r="V98" s="9" t="n">
        <v>45</v>
      </c>
      <c r="W98" s="10" t="s">
        <v>57</v>
      </c>
      <c r="X98" s="10" t="s">
        <v>385</v>
      </c>
      <c r="Y98" s="10" t="s">
        <v>384</v>
      </c>
    </row>
    <row r="99" customFormat="false" ht="21.75" hidden="false" customHeight="true" outlineLevel="0" collapsed="false">
      <c r="B99" s="7" t="n">
        <v>95</v>
      </c>
      <c r="C99" s="7" t="s">
        <v>386</v>
      </c>
      <c r="D99" s="7" t="s">
        <v>387</v>
      </c>
      <c r="E99" s="7" t="s">
        <v>47</v>
      </c>
      <c r="F99" s="7" t="s">
        <v>48</v>
      </c>
      <c r="G99" s="7" t="s">
        <v>61</v>
      </c>
      <c r="H99" s="7" t="n">
        <v>6.5</v>
      </c>
      <c r="I99" s="7" t="n">
        <v>5</v>
      </c>
      <c r="J99" s="7" t="n">
        <v>7</v>
      </c>
      <c r="K99" s="7" t="n">
        <v>3</v>
      </c>
      <c r="L99" s="7" t="n">
        <v>9</v>
      </c>
      <c r="M99" s="7" t="n">
        <v>7</v>
      </c>
      <c r="N99" s="7" t="n">
        <v>8</v>
      </c>
      <c r="O99" s="7" t="n">
        <v>6</v>
      </c>
      <c r="P99" s="7" t="n">
        <v>8</v>
      </c>
      <c r="Q99" s="7" t="n">
        <v>7</v>
      </c>
      <c r="R99" s="7" t="n">
        <v>5</v>
      </c>
      <c r="S99" s="8" t="s">
        <v>55</v>
      </c>
      <c r="T99" s="8" t="s">
        <v>56</v>
      </c>
      <c r="U99" s="7" t="n">
        <v>30</v>
      </c>
      <c r="V99" s="7" t="n">
        <v>10</v>
      </c>
      <c r="W99" s="8" t="s">
        <v>52</v>
      </c>
      <c r="X99" s="8" t="s">
        <v>388</v>
      </c>
      <c r="Y99" s="8" t="s">
        <v>389</v>
      </c>
    </row>
    <row r="100" customFormat="false" ht="21.75" hidden="false" customHeight="true" outlineLevel="0" collapsed="false">
      <c r="B100" s="9" t="n">
        <v>96</v>
      </c>
      <c r="C100" s="9" t="s">
        <v>390</v>
      </c>
      <c r="D100" s="9" t="s">
        <v>391</v>
      </c>
      <c r="E100" s="9" t="s">
        <v>94</v>
      </c>
      <c r="F100" s="9" t="s">
        <v>95</v>
      </c>
      <c r="G100" s="9" t="s">
        <v>61</v>
      </c>
      <c r="H100" s="9" t="n">
        <v>6.5</v>
      </c>
      <c r="I100" s="9" t="n">
        <v>6</v>
      </c>
      <c r="J100" s="9" t="n">
        <v>5</v>
      </c>
      <c r="K100" s="9" t="n">
        <v>5</v>
      </c>
      <c r="L100" s="9" t="n">
        <v>10</v>
      </c>
      <c r="M100" s="9" t="n">
        <v>4</v>
      </c>
      <c r="N100" s="9" t="n">
        <v>9</v>
      </c>
      <c r="O100" s="9" t="n">
        <v>5</v>
      </c>
      <c r="P100" s="9" t="n">
        <v>10</v>
      </c>
      <c r="Q100" s="9" t="n">
        <v>7</v>
      </c>
      <c r="R100" s="9" t="n">
        <v>3</v>
      </c>
      <c r="S100" s="10" t="s">
        <v>123</v>
      </c>
      <c r="T100" s="10" t="s">
        <v>51</v>
      </c>
      <c r="U100" s="9" t="n">
        <v>8</v>
      </c>
      <c r="V100" s="9" t="n">
        <v>10</v>
      </c>
      <c r="W100" s="10" t="s">
        <v>52</v>
      </c>
      <c r="X100" s="10" t="s">
        <v>392</v>
      </c>
      <c r="Y100" s="10" t="s">
        <v>393</v>
      </c>
    </row>
    <row r="101" customFormat="false" ht="21.75" hidden="false" customHeight="true" outlineLevel="0" collapsed="false">
      <c r="B101" s="7" t="n">
        <v>97</v>
      </c>
      <c r="C101" s="7" t="s">
        <v>394</v>
      </c>
      <c r="D101" s="7" t="s">
        <v>395</v>
      </c>
      <c r="E101" s="7" t="s">
        <v>94</v>
      </c>
      <c r="F101" s="7" t="s">
        <v>95</v>
      </c>
      <c r="G101" s="7" t="s">
        <v>61</v>
      </c>
      <c r="H101" s="7" t="n">
        <v>6.5</v>
      </c>
      <c r="I101" s="7" t="n">
        <v>6</v>
      </c>
      <c r="J101" s="7" t="n">
        <v>5</v>
      </c>
      <c r="K101" s="7" t="n">
        <v>5</v>
      </c>
      <c r="L101" s="7" t="n">
        <v>10</v>
      </c>
      <c r="M101" s="7" t="n">
        <v>4</v>
      </c>
      <c r="N101" s="7" t="n">
        <v>9</v>
      </c>
      <c r="O101" s="7" t="n">
        <v>5</v>
      </c>
      <c r="P101" s="7" t="n">
        <v>10</v>
      </c>
      <c r="Q101" s="7" t="n">
        <v>7</v>
      </c>
      <c r="R101" s="7" t="n">
        <v>3</v>
      </c>
      <c r="S101" s="8" t="s">
        <v>50</v>
      </c>
      <c r="T101" s="8" t="s">
        <v>51</v>
      </c>
      <c r="U101" s="7" t="n">
        <v>14</v>
      </c>
      <c r="V101" s="7" t="n">
        <v>10</v>
      </c>
      <c r="W101" s="8" t="s">
        <v>52</v>
      </c>
      <c r="X101" s="8" t="s">
        <v>396</v>
      </c>
      <c r="Y101" s="8" t="s">
        <v>397</v>
      </c>
    </row>
    <row r="102" customFormat="false" ht="21.75" hidden="false" customHeight="true" outlineLevel="0" collapsed="false">
      <c r="B102" s="9" t="n">
        <v>98</v>
      </c>
      <c r="C102" s="9" t="s">
        <v>398</v>
      </c>
      <c r="D102" s="9" t="s">
        <v>399</v>
      </c>
      <c r="E102" s="9" t="s">
        <v>350</v>
      </c>
      <c r="F102" s="9" t="s">
        <v>350</v>
      </c>
      <c r="G102" s="9" t="s">
        <v>61</v>
      </c>
      <c r="H102" s="9" t="n">
        <v>6.5</v>
      </c>
      <c r="I102" s="9" t="n">
        <v>8</v>
      </c>
      <c r="J102" s="9" t="n">
        <v>4</v>
      </c>
      <c r="K102" s="9" t="n">
        <v>6</v>
      </c>
      <c r="L102" s="9" t="n">
        <v>10</v>
      </c>
      <c r="M102" s="9" t="n">
        <v>3</v>
      </c>
      <c r="N102" s="9" t="n">
        <v>9</v>
      </c>
      <c r="O102" s="9" t="n">
        <v>3</v>
      </c>
      <c r="P102" s="9" t="n">
        <v>10</v>
      </c>
      <c r="Q102" s="9" t="n">
        <v>5</v>
      </c>
      <c r="R102" s="9" t="n">
        <v>2</v>
      </c>
      <c r="S102" s="10" t="s">
        <v>50</v>
      </c>
      <c r="T102" s="10" t="s">
        <v>51</v>
      </c>
      <c r="U102" s="9" t="n">
        <v>6</v>
      </c>
      <c r="V102" s="9" t="n">
        <v>10</v>
      </c>
      <c r="W102" s="10" t="s">
        <v>52</v>
      </c>
      <c r="X102" s="10" t="s">
        <v>400</v>
      </c>
      <c r="Y102" s="10" t="s">
        <v>401</v>
      </c>
    </row>
    <row r="103" customFormat="false" ht="21.75" hidden="false" customHeight="true" outlineLevel="0" collapsed="false">
      <c r="B103" s="7" t="n">
        <v>99</v>
      </c>
      <c r="C103" s="7" t="s">
        <v>402</v>
      </c>
      <c r="D103" s="7" t="s">
        <v>403</v>
      </c>
      <c r="E103" s="7" t="s">
        <v>89</v>
      </c>
      <c r="F103" s="7" t="s">
        <v>90</v>
      </c>
      <c r="G103" s="7" t="s">
        <v>49</v>
      </c>
      <c r="H103" s="7" t="n">
        <v>6.48</v>
      </c>
      <c r="I103" s="7" t="n">
        <v>5.5</v>
      </c>
      <c r="J103" s="7" t="n">
        <v>7</v>
      </c>
      <c r="K103" s="7" t="n">
        <v>8</v>
      </c>
      <c r="L103" s="7" t="n">
        <v>6.5</v>
      </c>
      <c r="M103" s="7" t="n">
        <v>7</v>
      </c>
      <c r="N103" s="7" t="n">
        <v>7</v>
      </c>
      <c r="O103" s="7" t="n">
        <v>7</v>
      </c>
      <c r="P103" s="7" t="n">
        <v>7.5</v>
      </c>
      <c r="Q103" s="7" t="n">
        <v>4.5</v>
      </c>
      <c r="R103" s="7" t="n">
        <v>4</v>
      </c>
      <c r="S103" s="8" t="s">
        <v>55</v>
      </c>
      <c r="T103" s="8" t="s">
        <v>56</v>
      </c>
      <c r="U103" s="7" t="n">
        <v>36</v>
      </c>
      <c r="V103" s="7" t="n">
        <v>30</v>
      </c>
      <c r="W103" s="8" t="s">
        <v>52</v>
      </c>
      <c r="X103" s="8"/>
      <c r="Y103" s="8" t="s">
        <v>404</v>
      </c>
    </row>
    <row r="104" customFormat="false" ht="21.75" hidden="false" customHeight="true" outlineLevel="0" collapsed="false">
      <c r="B104" s="9" t="n">
        <v>100</v>
      </c>
      <c r="C104" s="9" t="s">
        <v>405</v>
      </c>
      <c r="D104" s="9" t="s">
        <v>406</v>
      </c>
      <c r="E104" s="9" t="s">
        <v>89</v>
      </c>
      <c r="F104" s="9" t="s">
        <v>90</v>
      </c>
      <c r="G104" s="9" t="s">
        <v>49</v>
      </c>
      <c r="H104" s="9" t="n">
        <v>6.45</v>
      </c>
      <c r="I104" s="9" t="n">
        <v>6</v>
      </c>
      <c r="J104" s="9" t="n">
        <v>7</v>
      </c>
      <c r="K104" s="9" t="n">
        <v>5</v>
      </c>
      <c r="L104" s="9" t="n">
        <v>8</v>
      </c>
      <c r="M104" s="9" t="n">
        <v>6</v>
      </c>
      <c r="N104" s="9" t="n">
        <v>8</v>
      </c>
      <c r="O104" s="9" t="n">
        <v>5</v>
      </c>
      <c r="P104" s="9" t="n">
        <v>6</v>
      </c>
      <c r="Q104" s="9" t="n">
        <v>7</v>
      </c>
      <c r="R104" s="9" t="n">
        <v>4</v>
      </c>
      <c r="S104" s="10" t="s">
        <v>123</v>
      </c>
      <c r="T104" s="10" t="s">
        <v>51</v>
      </c>
      <c r="U104" s="9" t="n">
        <v>12</v>
      </c>
      <c r="V104" s="9" t="n">
        <v>10</v>
      </c>
      <c r="W104" s="10" t="s">
        <v>52</v>
      </c>
      <c r="X104" s="10"/>
      <c r="Y104" s="10" t="s">
        <v>407</v>
      </c>
    </row>
    <row r="105" customFormat="false" ht="21.75" hidden="false" customHeight="true" outlineLevel="0" collapsed="false">
      <c r="B105" s="7" t="n">
        <v>101</v>
      </c>
      <c r="C105" s="7" t="s">
        <v>408</v>
      </c>
      <c r="D105" s="7" t="s">
        <v>409</v>
      </c>
      <c r="E105" s="7" t="s">
        <v>350</v>
      </c>
      <c r="F105" s="7" t="s">
        <v>350</v>
      </c>
      <c r="G105" s="7" t="s">
        <v>61</v>
      </c>
      <c r="H105" s="7" t="n">
        <v>6.45</v>
      </c>
      <c r="I105" s="7" t="n">
        <v>8</v>
      </c>
      <c r="J105" s="7" t="n">
        <v>3</v>
      </c>
      <c r="K105" s="7" t="n">
        <v>7</v>
      </c>
      <c r="L105" s="7" t="n">
        <v>10</v>
      </c>
      <c r="M105" s="7" t="n">
        <v>3</v>
      </c>
      <c r="N105" s="7" t="n">
        <v>9</v>
      </c>
      <c r="O105" s="7" t="n">
        <v>3</v>
      </c>
      <c r="P105" s="7" t="n">
        <v>10</v>
      </c>
      <c r="Q105" s="7" t="n">
        <v>5</v>
      </c>
      <c r="R105" s="7" t="n">
        <v>2</v>
      </c>
      <c r="S105" s="8" t="s">
        <v>50</v>
      </c>
      <c r="T105" s="8" t="s">
        <v>51</v>
      </c>
      <c r="U105" s="7" t="n">
        <v>6</v>
      </c>
      <c r="V105" s="7" t="n">
        <v>10</v>
      </c>
      <c r="W105" s="8" t="s">
        <v>52</v>
      </c>
      <c r="X105" s="8" t="s">
        <v>410</v>
      </c>
      <c r="Y105" s="8" t="s">
        <v>411</v>
      </c>
    </row>
    <row r="106" customFormat="false" ht="21.75" hidden="false" customHeight="true" outlineLevel="0" collapsed="false">
      <c r="B106" s="9" t="n">
        <v>102</v>
      </c>
      <c r="C106" s="9" t="s">
        <v>412</v>
      </c>
      <c r="D106" s="9" t="s">
        <v>413</v>
      </c>
      <c r="E106" s="9" t="s">
        <v>94</v>
      </c>
      <c r="F106" s="9" t="s">
        <v>95</v>
      </c>
      <c r="G106" s="9" t="s">
        <v>61</v>
      </c>
      <c r="H106" s="9" t="n">
        <v>6.4</v>
      </c>
      <c r="I106" s="9" t="n">
        <v>5</v>
      </c>
      <c r="J106" s="9" t="n">
        <v>5</v>
      </c>
      <c r="K106" s="9" t="n">
        <v>6</v>
      </c>
      <c r="L106" s="9" t="n">
        <v>10</v>
      </c>
      <c r="M106" s="9" t="n">
        <v>5</v>
      </c>
      <c r="N106" s="9" t="n">
        <v>7</v>
      </c>
      <c r="O106" s="9" t="n">
        <v>6</v>
      </c>
      <c r="P106" s="9" t="n">
        <v>10</v>
      </c>
      <c r="Q106" s="9" t="n">
        <v>6</v>
      </c>
      <c r="R106" s="9" t="n">
        <v>5</v>
      </c>
      <c r="S106" s="10" t="s">
        <v>123</v>
      </c>
      <c r="T106" s="10" t="s">
        <v>51</v>
      </c>
      <c r="U106" s="9" t="n">
        <v>14</v>
      </c>
      <c r="V106" s="9" t="n">
        <v>10</v>
      </c>
      <c r="W106" s="10" t="s">
        <v>52</v>
      </c>
      <c r="X106" s="10" t="s">
        <v>414</v>
      </c>
      <c r="Y106" s="10" t="s">
        <v>415</v>
      </c>
    </row>
    <row r="107" customFormat="false" ht="21.75" hidden="false" customHeight="true" outlineLevel="0" collapsed="false">
      <c r="B107" s="7" t="n">
        <v>103</v>
      </c>
      <c r="C107" s="7" t="s">
        <v>416</v>
      </c>
      <c r="D107" s="7" t="s">
        <v>417</v>
      </c>
      <c r="E107" s="7" t="s">
        <v>47</v>
      </c>
      <c r="F107" s="7" t="s">
        <v>48</v>
      </c>
      <c r="G107" s="7" t="s">
        <v>61</v>
      </c>
      <c r="H107" s="7" t="n">
        <v>6.4</v>
      </c>
      <c r="I107" s="7" t="n">
        <v>6</v>
      </c>
      <c r="J107" s="7" t="n">
        <v>5</v>
      </c>
      <c r="K107" s="7" t="n">
        <v>5</v>
      </c>
      <c r="L107" s="7" t="n">
        <v>10</v>
      </c>
      <c r="M107" s="7" t="n">
        <v>4</v>
      </c>
      <c r="N107" s="7" t="n">
        <v>8</v>
      </c>
      <c r="O107" s="7" t="n">
        <v>5</v>
      </c>
      <c r="P107" s="7" t="n">
        <v>10</v>
      </c>
      <c r="Q107" s="7" t="n">
        <v>7</v>
      </c>
      <c r="R107" s="7" t="n">
        <v>3</v>
      </c>
      <c r="S107" s="8" t="s">
        <v>123</v>
      </c>
      <c r="T107" s="8" t="s">
        <v>51</v>
      </c>
      <c r="U107" s="7" t="n">
        <v>8</v>
      </c>
      <c r="V107" s="7" t="n">
        <v>10</v>
      </c>
      <c r="W107" s="8" t="s">
        <v>52</v>
      </c>
      <c r="X107" s="8" t="s">
        <v>418</v>
      </c>
      <c r="Y107" s="8" t="s">
        <v>419</v>
      </c>
    </row>
    <row r="108" customFormat="false" ht="21.75" hidden="false" customHeight="true" outlineLevel="0" collapsed="false">
      <c r="B108" s="9" t="n">
        <v>104</v>
      </c>
      <c r="C108" s="9" t="s">
        <v>420</v>
      </c>
      <c r="D108" s="9" t="s">
        <v>421</v>
      </c>
      <c r="E108" s="9" t="s">
        <v>47</v>
      </c>
      <c r="F108" s="9" t="s">
        <v>48</v>
      </c>
      <c r="G108" s="9" t="s">
        <v>61</v>
      </c>
      <c r="H108" s="9" t="n">
        <v>6.4</v>
      </c>
      <c r="I108" s="9" t="n">
        <v>7</v>
      </c>
      <c r="J108" s="9" t="n">
        <v>6</v>
      </c>
      <c r="K108" s="9" t="n">
        <v>4</v>
      </c>
      <c r="L108" s="9" t="n">
        <v>10</v>
      </c>
      <c r="M108" s="9" t="n">
        <v>4</v>
      </c>
      <c r="N108" s="9" t="n">
        <v>8</v>
      </c>
      <c r="O108" s="9" t="n">
        <v>4</v>
      </c>
      <c r="P108" s="9" t="n">
        <v>8</v>
      </c>
      <c r="Q108" s="9" t="n">
        <v>5</v>
      </c>
      <c r="R108" s="9" t="n">
        <v>3</v>
      </c>
      <c r="S108" s="10" t="s">
        <v>56</v>
      </c>
      <c r="T108" s="10" t="s">
        <v>51</v>
      </c>
      <c r="U108" s="9" t="n">
        <v>8</v>
      </c>
      <c r="V108" s="9" t="n">
        <v>10</v>
      </c>
      <c r="W108" s="10" t="s">
        <v>52</v>
      </c>
      <c r="X108" s="10" t="s">
        <v>422</v>
      </c>
      <c r="Y108" s="10" t="s">
        <v>423</v>
      </c>
    </row>
    <row r="109" customFormat="false" ht="21.75" hidden="false" customHeight="true" outlineLevel="0" collapsed="false">
      <c r="B109" s="7" t="n">
        <v>105</v>
      </c>
      <c r="C109" s="7" t="s">
        <v>424</v>
      </c>
      <c r="D109" s="7" t="s">
        <v>425</v>
      </c>
      <c r="E109" s="7" t="s">
        <v>350</v>
      </c>
      <c r="F109" s="7" t="s">
        <v>350</v>
      </c>
      <c r="G109" s="7" t="s">
        <v>61</v>
      </c>
      <c r="H109" s="7" t="n">
        <v>6.4</v>
      </c>
      <c r="I109" s="7" t="n">
        <v>7</v>
      </c>
      <c r="J109" s="7" t="n">
        <v>5</v>
      </c>
      <c r="K109" s="7" t="n">
        <v>5</v>
      </c>
      <c r="L109" s="7" t="n">
        <v>10</v>
      </c>
      <c r="M109" s="7" t="n">
        <v>3</v>
      </c>
      <c r="N109" s="7" t="n">
        <v>9</v>
      </c>
      <c r="O109" s="7" t="n">
        <v>4</v>
      </c>
      <c r="P109" s="7" t="n">
        <v>10</v>
      </c>
      <c r="Q109" s="7" t="n">
        <v>5</v>
      </c>
      <c r="R109" s="7" t="n">
        <v>2</v>
      </c>
      <c r="S109" s="8" t="s">
        <v>50</v>
      </c>
      <c r="T109" s="8" t="s">
        <v>51</v>
      </c>
      <c r="U109" s="7" t="n">
        <v>10</v>
      </c>
      <c r="V109" s="7" t="n">
        <v>10</v>
      </c>
      <c r="W109" s="8" t="s">
        <v>52</v>
      </c>
      <c r="X109" s="8" t="s">
        <v>426</v>
      </c>
      <c r="Y109" s="8" t="s">
        <v>427</v>
      </c>
    </row>
    <row r="110" customFormat="false" ht="21.75" hidden="false" customHeight="true" outlineLevel="0" collapsed="false">
      <c r="B110" s="9" t="n">
        <v>106</v>
      </c>
      <c r="C110" s="9" t="s">
        <v>428</v>
      </c>
      <c r="D110" s="9" t="s">
        <v>429</v>
      </c>
      <c r="E110" s="9" t="s">
        <v>47</v>
      </c>
      <c r="F110" s="9" t="s">
        <v>48</v>
      </c>
      <c r="G110" s="9" t="s">
        <v>49</v>
      </c>
      <c r="H110" s="9" t="n">
        <v>6.38</v>
      </c>
      <c r="I110" s="9" t="n">
        <v>4.5</v>
      </c>
      <c r="J110" s="9" t="n">
        <v>7</v>
      </c>
      <c r="K110" s="9" t="n">
        <v>7</v>
      </c>
      <c r="L110" s="9" t="n">
        <v>8.5</v>
      </c>
      <c r="M110" s="9" t="n">
        <v>6.5</v>
      </c>
      <c r="N110" s="9" t="n">
        <v>7</v>
      </c>
      <c r="O110" s="9" t="n">
        <v>3.5</v>
      </c>
      <c r="P110" s="9" t="n">
        <v>7.5</v>
      </c>
      <c r="Q110" s="9" t="n">
        <v>7</v>
      </c>
      <c r="R110" s="9" t="n">
        <v>4</v>
      </c>
      <c r="S110" s="10" t="s">
        <v>56</v>
      </c>
      <c r="T110" s="10" t="s">
        <v>56</v>
      </c>
      <c r="U110" s="9" t="n">
        <v>12</v>
      </c>
      <c r="V110" s="9" t="n">
        <v>10</v>
      </c>
      <c r="W110" s="10" t="s">
        <v>52</v>
      </c>
      <c r="X110" s="10"/>
      <c r="Y110" s="10" t="s">
        <v>430</v>
      </c>
    </row>
    <row r="111" customFormat="false" ht="21.75" hidden="false" customHeight="true" outlineLevel="0" collapsed="false">
      <c r="B111" s="7" t="n">
        <v>107</v>
      </c>
      <c r="C111" s="7" t="s">
        <v>431</v>
      </c>
      <c r="D111" s="7" t="s">
        <v>432</v>
      </c>
      <c r="E111" s="7" t="s">
        <v>89</v>
      </c>
      <c r="F111" s="7" t="s">
        <v>90</v>
      </c>
      <c r="G111" s="7" t="s">
        <v>49</v>
      </c>
      <c r="H111" s="7" t="n">
        <v>6.38</v>
      </c>
      <c r="I111" s="7" t="n">
        <v>6.5</v>
      </c>
      <c r="J111" s="7" t="n">
        <v>7.5</v>
      </c>
      <c r="K111" s="7" t="n">
        <v>5</v>
      </c>
      <c r="L111" s="7" t="n">
        <v>8.5</v>
      </c>
      <c r="M111" s="7" t="n">
        <v>6</v>
      </c>
      <c r="N111" s="7" t="n">
        <v>7</v>
      </c>
      <c r="O111" s="7" t="n">
        <v>4.5</v>
      </c>
      <c r="P111" s="7" t="n">
        <v>6</v>
      </c>
      <c r="Q111" s="7" t="n">
        <v>4.5</v>
      </c>
      <c r="R111" s="7" t="n">
        <v>2.5</v>
      </c>
      <c r="S111" s="8" t="s">
        <v>123</v>
      </c>
      <c r="T111" s="8" t="s">
        <v>51</v>
      </c>
      <c r="U111" s="7" t="n">
        <v>12</v>
      </c>
      <c r="V111" s="7" t="n">
        <v>10</v>
      </c>
      <c r="W111" s="8" t="s">
        <v>52</v>
      </c>
      <c r="X111" s="8"/>
      <c r="Y111" s="8" t="s">
        <v>433</v>
      </c>
    </row>
    <row r="112" customFormat="false" ht="21.75" hidden="false" customHeight="true" outlineLevel="0" collapsed="false">
      <c r="B112" s="9" t="n">
        <v>108</v>
      </c>
      <c r="C112" s="9" t="s">
        <v>434</v>
      </c>
      <c r="D112" s="9" t="s">
        <v>435</v>
      </c>
      <c r="E112" s="9" t="s">
        <v>89</v>
      </c>
      <c r="F112" s="9" t="s">
        <v>90</v>
      </c>
      <c r="G112" s="9" t="s">
        <v>49</v>
      </c>
      <c r="H112" s="9" t="n">
        <v>6.38</v>
      </c>
      <c r="I112" s="9" t="n">
        <v>7</v>
      </c>
      <c r="J112" s="9" t="n">
        <v>7.5</v>
      </c>
      <c r="K112" s="9" t="n">
        <v>4</v>
      </c>
      <c r="L112" s="9" t="n">
        <v>8.5</v>
      </c>
      <c r="M112" s="9" t="n">
        <v>7</v>
      </c>
      <c r="N112" s="9" t="n">
        <v>5</v>
      </c>
      <c r="O112" s="9" t="n">
        <v>5</v>
      </c>
      <c r="P112" s="9" t="n">
        <v>6</v>
      </c>
      <c r="Q112" s="9" t="n">
        <v>4.5</v>
      </c>
      <c r="R112" s="9" t="n">
        <v>4</v>
      </c>
      <c r="S112" s="10" t="s">
        <v>56</v>
      </c>
      <c r="T112" s="10" t="s">
        <v>56</v>
      </c>
      <c r="U112" s="9" t="n">
        <v>12</v>
      </c>
      <c r="V112" s="9" t="n">
        <v>10</v>
      </c>
      <c r="W112" s="10" t="s">
        <v>52</v>
      </c>
      <c r="X112" s="10"/>
      <c r="Y112" s="10" t="s">
        <v>436</v>
      </c>
    </row>
    <row r="113" customFormat="false" ht="21.75" hidden="false" customHeight="true" outlineLevel="0" collapsed="false">
      <c r="B113" s="7" t="n">
        <v>109</v>
      </c>
      <c r="C113" s="7" t="s">
        <v>271</v>
      </c>
      <c r="D113" s="7" t="s">
        <v>437</v>
      </c>
      <c r="E113" s="7" t="s">
        <v>94</v>
      </c>
      <c r="F113" s="7" t="s">
        <v>95</v>
      </c>
      <c r="G113" s="7" t="s">
        <v>61</v>
      </c>
      <c r="H113" s="7" t="n">
        <v>6.35</v>
      </c>
      <c r="I113" s="7" t="n">
        <v>7</v>
      </c>
      <c r="J113" s="7" t="n">
        <v>3</v>
      </c>
      <c r="K113" s="7" t="n">
        <v>8</v>
      </c>
      <c r="L113" s="7" t="n">
        <v>10</v>
      </c>
      <c r="M113" s="7" t="n">
        <v>3</v>
      </c>
      <c r="N113" s="7" t="n">
        <v>8</v>
      </c>
      <c r="O113" s="7" t="n">
        <v>3</v>
      </c>
      <c r="P113" s="7" t="n">
        <v>10</v>
      </c>
      <c r="Q113" s="7" t="n">
        <v>6</v>
      </c>
      <c r="R113" s="7" t="n">
        <v>3</v>
      </c>
      <c r="S113" s="8" t="s">
        <v>50</v>
      </c>
      <c r="T113" s="8" t="s">
        <v>51</v>
      </c>
      <c r="U113" s="7" t="n">
        <v>4</v>
      </c>
      <c r="V113" s="7" t="n">
        <v>10</v>
      </c>
      <c r="W113" s="8" t="s">
        <v>52</v>
      </c>
      <c r="X113" s="8" t="s">
        <v>438</v>
      </c>
      <c r="Y113" s="8" t="s">
        <v>439</v>
      </c>
    </row>
    <row r="114" customFormat="false" ht="21.75" hidden="false" customHeight="true" outlineLevel="0" collapsed="false">
      <c r="B114" s="9" t="n">
        <v>110</v>
      </c>
      <c r="C114" s="9" t="s">
        <v>440</v>
      </c>
      <c r="D114" s="9" t="s">
        <v>441</v>
      </c>
      <c r="E114" s="9" t="s">
        <v>94</v>
      </c>
      <c r="F114" s="9" t="s">
        <v>95</v>
      </c>
      <c r="G114" s="9" t="s">
        <v>61</v>
      </c>
      <c r="H114" s="9" t="n">
        <v>6.35</v>
      </c>
      <c r="I114" s="9" t="n">
        <v>5</v>
      </c>
      <c r="J114" s="9" t="n">
        <v>5</v>
      </c>
      <c r="K114" s="9" t="n">
        <v>6</v>
      </c>
      <c r="L114" s="9" t="n">
        <v>10</v>
      </c>
      <c r="M114" s="9" t="n">
        <v>5</v>
      </c>
      <c r="N114" s="9" t="n">
        <v>7</v>
      </c>
      <c r="O114" s="9" t="n">
        <v>6</v>
      </c>
      <c r="P114" s="9" t="n">
        <v>10</v>
      </c>
      <c r="Q114" s="9" t="n">
        <v>6</v>
      </c>
      <c r="R114" s="9" t="n">
        <v>4</v>
      </c>
      <c r="S114" s="10" t="s">
        <v>123</v>
      </c>
      <c r="T114" s="10" t="s">
        <v>51</v>
      </c>
      <c r="U114" s="9" t="n">
        <v>12</v>
      </c>
      <c r="V114" s="9" t="n">
        <v>10</v>
      </c>
      <c r="W114" s="10" t="s">
        <v>52</v>
      </c>
      <c r="X114" s="10" t="s">
        <v>442</v>
      </c>
      <c r="Y114" s="10" t="s">
        <v>443</v>
      </c>
    </row>
    <row r="115" customFormat="false" ht="21.75" hidden="false" customHeight="true" outlineLevel="0" collapsed="false">
      <c r="B115" s="7" t="n">
        <v>111</v>
      </c>
      <c r="C115" s="7" t="s">
        <v>444</v>
      </c>
      <c r="D115" s="7" t="s">
        <v>445</v>
      </c>
      <c r="E115" s="7" t="s">
        <v>47</v>
      </c>
      <c r="F115" s="7" t="s">
        <v>48</v>
      </c>
      <c r="G115" s="7" t="s">
        <v>61</v>
      </c>
      <c r="H115" s="7" t="n">
        <v>6.35</v>
      </c>
      <c r="I115" s="7" t="n">
        <v>7</v>
      </c>
      <c r="J115" s="7" t="n">
        <v>5</v>
      </c>
      <c r="K115" s="7" t="n">
        <v>5</v>
      </c>
      <c r="L115" s="7" t="n">
        <v>10</v>
      </c>
      <c r="M115" s="7" t="n">
        <v>4</v>
      </c>
      <c r="N115" s="7" t="n">
        <v>9</v>
      </c>
      <c r="O115" s="7" t="n">
        <v>3</v>
      </c>
      <c r="P115" s="7" t="n">
        <v>8</v>
      </c>
      <c r="Q115" s="7" t="n">
        <v>5</v>
      </c>
      <c r="R115" s="7" t="n">
        <v>2</v>
      </c>
      <c r="S115" s="8" t="s">
        <v>50</v>
      </c>
      <c r="T115" s="8" t="s">
        <v>51</v>
      </c>
      <c r="U115" s="7" t="n">
        <v>14</v>
      </c>
      <c r="V115" s="7" t="n">
        <v>10</v>
      </c>
      <c r="W115" s="8" t="s">
        <v>52</v>
      </c>
      <c r="X115" s="8" t="s">
        <v>446</v>
      </c>
      <c r="Y115" s="8" t="s">
        <v>447</v>
      </c>
    </row>
    <row r="116" customFormat="false" ht="21.75" hidden="false" customHeight="true" outlineLevel="0" collapsed="false">
      <c r="B116" s="9" t="n">
        <v>112</v>
      </c>
      <c r="C116" s="9" t="s">
        <v>448</v>
      </c>
      <c r="D116" s="9" t="s">
        <v>449</v>
      </c>
      <c r="E116" s="9" t="s">
        <v>76</v>
      </c>
      <c r="F116" s="9" t="s">
        <v>77</v>
      </c>
      <c r="G116" s="9" t="s">
        <v>61</v>
      </c>
      <c r="H116" s="9" t="n">
        <v>6.35</v>
      </c>
      <c r="I116" s="9" t="n">
        <v>6</v>
      </c>
      <c r="J116" s="9" t="n">
        <v>5</v>
      </c>
      <c r="K116" s="9" t="n">
        <v>4</v>
      </c>
      <c r="L116" s="9" t="n">
        <v>10</v>
      </c>
      <c r="M116" s="9" t="n">
        <v>4</v>
      </c>
      <c r="N116" s="9" t="n">
        <v>8</v>
      </c>
      <c r="O116" s="9" t="n">
        <v>5</v>
      </c>
      <c r="P116" s="9" t="n">
        <v>10</v>
      </c>
      <c r="Q116" s="9" t="n">
        <v>7</v>
      </c>
      <c r="R116" s="9" t="n">
        <v>4</v>
      </c>
      <c r="S116" s="10" t="s">
        <v>56</v>
      </c>
      <c r="T116" s="10" t="s">
        <v>51</v>
      </c>
      <c r="U116" s="9" t="n">
        <v>14</v>
      </c>
      <c r="V116" s="9" t="n">
        <v>10</v>
      </c>
      <c r="W116" s="10" t="s">
        <v>52</v>
      </c>
      <c r="X116" s="10" t="s">
        <v>450</v>
      </c>
      <c r="Y116" s="10" t="s">
        <v>451</v>
      </c>
    </row>
    <row r="117" customFormat="false" ht="21.75" hidden="false" customHeight="true" outlineLevel="0" collapsed="false">
      <c r="B117" s="7" t="n">
        <v>113</v>
      </c>
      <c r="C117" s="7" t="s">
        <v>452</v>
      </c>
      <c r="D117" s="7" t="s">
        <v>453</v>
      </c>
      <c r="E117" s="7" t="s">
        <v>76</v>
      </c>
      <c r="F117" s="7" t="s">
        <v>77</v>
      </c>
      <c r="G117" s="7" t="s">
        <v>61</v>
      </c>
      <c r="H117" s="7" t="n">
        <v>6.35</v>
      </c>
      <c r="I117" s="7" t="n">
        <v>8</v>
      </c>
      <c r="J117" s="7" t="n">
        <v>5</v>
      </c>
      <c r="K117" s="7" t="n">
        <v>5</v>
      </c>
      <c r="L117" s="7" t="n">
        <v>9</v>
      </c>
      <c r="M117" s="7" t="n">
        <v>3</v>
      </c>
      <c r="N117" s="7" t="n">
        <v>9</v>
      </c>
      <c r="O117" s="7" t="n">
        <v>5</v>
      </c>
      <c r="P117" s="7" t="n">
        <v>7</v>
      </c>
      <c r="Q117" s="7" t="n">
        <v>5</v>
      </c>
      <c r="R117" s="7" t="n">
        <v>2</v>
      </c>
      <c r="S117" s="8" t="s">
        <v>50</v>
      </c>
      <c r="T117" s="8" t="s">
        <v>51</v>
      </c>
      <c r="U117" s="7" t="n">
        <v>20</v>
      </c>
      <c r="V117" s="7" t="n">
        <v>25</v>
      </c>
      <c r="W117" s="8" t="s">
        <v>57</v>
      </c>
      <c r="X117" s="8" t="s">
        <v>454</v>
      </c>
      <c r="Y117" s="8" t="s">
        <v>455</v>
      </c>
    </row>
    <row r="118" customFormat="false" ht="21.75" hidden="false" customHeight="true" outlineLevel="0" collapsed="false">
      <c r="B118" s="9" t="n">
        <v>114</v>
      </c>
      <c r="C118" s="9" t="s">
        <v>456</v>
      </c>
      <c r="D118" s="9" t="s">
        <v>457</v>
      </c>
      <c r="E118" s="9" t="s">
        <v>94</v>
      </c>
      <c r="F118" s="9" t="s">
        <v>95</v>
      </c>
      <c r="G118" s="9" t="s">
        <v>103</v>
      </c>
      <c r="H118" s="9" t="n">
        <v>6.33</v>
      </c>
      <c r="I118" s="9" t="n">
        <v>6.5</v>
      </c>
      <c r="J118" s="9" t="n">
        <v>5</v>
      </c>
      <c r="K118" s="9" t="n">
        <v>7</v>
      </c>
      <c r="L118" s="9" t="n">
        <v>8.5</v>
      </c>
      <c r="M118" s="9" t="n">
        <v>5</v>
      </c>
      <c r="N118" s="9" t="n">
        <v>7</v>
      </c>
      <c r="O118" s="9" t="n">
        <v>3.5</v>
      </c>
      <c r="P118" s="9" t="n">
        <v>7.5</v>
      </c>
      <c r="Q118" s="9" t="n">
        <v>7</v>
      </c>
      <c r="R118" s="9" t="n">
        <v>4</v>
      </c>
      <c r="S118" s="10" t="s">
        <v>123</v>
      </c>
      <c r="T118" s="10" t="s">
        <v>51</v>
      </c>
      <c r="U118" s="9" t="n">
        <v>12</v>
      </c>
      <c r="V118" s="9" t="n">
        <v>10</v>
      </c>
      <c r="W118" s="10" t="s">
        <v>52</v>
      </c>
      <c r="X118" s="10" t="s">
        <v>458</v>
      </c>
      <c r="Y118" s="10" t="s">
        <v>459</v>
      </c>
    </row>
    <row r="119" customFormat="false" ht="21.75" hidden="false" customHeight="true" outlineLevel="0" collapsed="false">
      <c r="B119" s="7" t="n">
        <v>115</v>
      </c>
      <c r="C119" s="7" t="s">
        <v>460</v>
      </c>
      <c r="D119" s="7" t="s">
        <v>461</v>
      </c>
      <c r="E119" s="7" t="s">
        <v>89</v>
      </c>
      <c r="F119" s="7" t="s">
        <v>90</v>
      </c>
      <c r="G119" s="7" t="s">
        <v>49</v>
      </c>
      <c r="H119" s="7" t="n">
        <v>6.3</v>
      </c>
      <c r="I119" s="7" t="n">
        <v>5</v>
      </c>
      <c r="J119" s="7" t="n">
        <v>8</v>
      </c>
      <c r="K119" s="7" t="n">
        <v>5</v>
      </c>
      <c r="L119" s="7" t="n">
        <v>8</v>
      </c>
      <c r="M119" s="7" t="n">
        <v>6</v>
      </c>
      <c r="N119" s="7" t="n">
        <v>7</v>
      </c>
      <c r="O119" s="7" t="n">
        <v>7.5</v>
      </c>
      <c r="P119" s="7" t="n">
        <v>6</v>
      </c>
      <c r="Q119" s="7" t="n">
        <v>4.5</v>
      </c>
      <c r="R119" s="7" t="n">
        <v>4</v>
      </c>
      <c r="S119" s="8" t="s">
        <v>123</v>
      </c>
      <c r="T119" s="8" t="s">
        <v>51</v>
      </c>
      <c r="U119" s="7" t="n">
        <v>12</v>
      </c>
      <c r="V119" s="7" t="n">
        <v>10</v>
      </c>
      <c r="W119" s="8" t="s">
        <v>52</v>
      </c>
      <c r="X119" s="8"/>
      <c r="Y119" s="8" t="s">
        <v>462</v>
      </c>
    </row>
    <row r="120" customFormat="false" ht="21.75" hidden="false" customHeight="true" outlineLevel="0" collapsed="false">
      <c r="B120" s="9" t="n">
        <v>116</v>
      </c>
      <c r="C120" s="9" t="s">
        <v>463</v>
      </c>
      <c r="D120" s="9" t="s">
        <v>464</v>
      </c>
      <c r="E120" s="9" t="s">
        <v>89</v>
      </c>
      <c r="F120" s="9" t="s">
        <v>90</v>
      </c>
      <c r="G120" s="9" t="s">
        <v>49</v>
      </c>
      <c r="H120" s="9" t="n">
        <v>6.3</v>
      </c>
      <c r="I120" s="9" t="n">
        <v>5.5</v>
      </c>
      <c r="J120" s="9" t="n">
        <v>7.5</v>
      </c>
      <c r="K120" s="9" t="n">
        <v>5</v>
      </c>
      <c r="L120" s="9" t="n">
        <v>8.5</v>
      </c>
      <c r="M120" s="9" t="n">
        <v>5.5</v>
      </c>
      <c r="N120" s="9" t="n">
        <v>7</v>
      </c>
      <c r="O120" s="9" t="n">
        <v>5</v>
      </c>
      <c r="P120" s="9" t="n">
        <v>7.5</v>
      </c>
      <c r="Q120" s="9" t="n">
        <v>4.5</v>
      </c>
      <c r="R120" s="9" t="n">
        <v>4</v>
      </c>
      <c r="S120" s="10" t="s">
        <v>123</v>
      </c>
      <c r="T120" s="10" t="s">
        <v>51</v>
      </c>
      <c r="U120" s="9" t="n">
        <v>12</v>
      </c>
      <c r="V120" s="9" t="n">
        <v>10</v>
      </c>
      <c r="W120" s="10" t="s">
        <v>52</v>
      </c>
      <c r="X120" s="10"/>
      <c r="Y120" s="10" t="s">
        <v>465</v>
      </c>
    </row>
    <row r="121" customFormat="false" ht="21.75" hidden="false" customHeight="true" outlineLevel="0" collapsed="false">
      <c r="B121" s="7" t="n">
        <v>117</v>
      </c>
      <c r="C121" s="7" t="s">
        <v>466</v>
      </c>
      <c r="D121" s="7" t="s">
        <v>467</v>
      </c>
      <c r="E121" s="7" t="s">
        <v>89</v>
      </c>
      <c r="F121" s="7" t="s">
        <v>90</v>
      </c>
      <c r="G121" s="7" t="s">
        <v>49</v>
      </c>
      <c r="H121" s="7" t="n">
        <v>6.3</v>
      </c>
      <c r="I121" s="7" t="n">
        <v>6</v>
      </c>
      <c r="J121" s="7" t="n">
        <v>7</v>
      </c>
      <c r="K121" s="7" t="n">
        <v>5</v>
      </c>
      <c r="L121" s="7" t="n">
        <v>8</v>
      </c>
      <c r="M121" s="7" t="n">
        <v>6</v>
      </c>
      <c r="N121" s="7" t="n">
        <v>7</v>
      </c>
      <c r="O121" s="7" t="n">
        <v>5</v>
      </c>
      <c r="P121" s="7" t="n">
        <v>7.5</v>
      </c>
      <c r="Q121" s="7" t="n">
        <v>4.5</v>
      </c>
      <c r="R121" s="7" t="n">
        <v>4</v>
      </c>
      <c r="S121" s="8" t="s">
        <v>123</v>
      </c>
      <c r="T121" s="8" t="s">
        <v>51</v>
      </c>
      <c r="U121" s="7" t="n">
        <v>12</v>
      </c>
      <c r="V121" s="7" t="n">
        <v>10</v>
      </c>
      <c r="W121" s="8" t="s">
        <v>52</v>
      </c>
      <c r="X121" s="8"/>
      <c r="Y121" s="8" t="s">
        <v>468</v>
      </c>
    </row>
    <row r="122" customFormat="false" ht="21.75" hidden="false" customHeight="true" outlineLevel="0" collapsed="false">
      <c r="B122" s="9" t="n">
        <v>118</v>
      </c>
      <c r="C122" s="9" t="s">
        <v>469</v>
      </c>
      <c r="D122" s="9" t="s">
        <v>470</v>
      </c>
      <c r="E122" s="9" t="s">
        <v>89</v>
      </c>
      <c r="F122" s="9" t="s">
        <v>90</v>
      </c>
      <c r="G122" s="9" t="s">
        <v>49</v>
      </c>
      <c r="H122" s="9" t="n">
        <v>6.3</v>
      </c>
      <c r="I122" s="9" t="n">
        <v>5.5</v>
      </c>
      <c r="J122" s="9" t="n">
        <v>7</v>
      </c>
      <c r="K122" s="9" t="n">
        <v>5</v>
      </c>
      <c r="L122" s="9" t="n">
        <v>8.5</v>
      </c>
      <c r="M122" s="9" t="n">
        <v>7</v>
      </c>
      <c r="N122" s="9" t="n">
        <v>5</v>
      </c>
      <c r="O122" s="9" t="n">
        <v>6.5</v>
      </c>
      <c r="P122" s="9" t="n">
        <v>6</v>
      </c>
      <c r="Q122" s="9" t="n">
        <v>7</v>
      </c>
      <c r="R122" s="9" t="n">
        <v>4</v>
      </c>
      <c r="S122" s="10" t="s">
        <v>55</v>
      </c>
      <c r="T122" s="10" t="s">
        <v>56</v>
      </c>
      <c r="U122" s="9" t="n">
        <v>12</v>
      </c>
      <c r="V122" s="9" t="n">
        <v>10</v>
      </c>
      <c r="W122" s="10" t="s">
        <v>52</v>
      </c>
      <c r="X122" s="10"/>
      <c r="Y122" s="10" t="s">
        <v>471</v>
      </c>
    </row>
    <row r="123" customFormat="false" ht="21.75" hidden="false" customHeight="true" outlineLevel="0" collapsed="false">
      <c r="B123" s="7" t="n">
        <v>119</v>
      </c>
      <c r="C123" s="7" t="s">
        <v>472</v>
      </c>
      <c r="D123" s="7" t="s">
        <v>473</v>
      </c>
      <c r="E123" s="7" t="s">
        <v>76</v>
      </c>
      <c r="F123" s="7" t="s">
        <v>77</v>
      </c>
      <c r="G123" s="7" t="s">
        <v>103</v>
      </c>
      <c r="H123" s="7" t="n">
        <v>6.3</v>
      </c>
      <c r="I123" s="7" t="n">
        <v>7.5</v>
      </c>
      <c r="J123" s="7" t="n">
        <v>5</v>
      </c>
      <c r="K123" s="7" t="n">
        <v>8</v>
      </c>
      <c r="L123" s="7" t="n">
        <v>6.5</v>
      </c>
      <c r="M123" s="7" t="n">
        <v>5</v>
      </c>
      <c r="N123" s="7" t="n">
        <v>8</v>
      </c>
      <c r="O123" s="7" t="n">
        <v>3.5</v>
      </c>
      <c r="P123" s="7" t="n">
        <v>7.5</v>
      </c>
      <c r="Q123" s="7" t="n">
        <v>4.5</v>
      </c>
      <c r="R123" s="7" t="n">
        <v>4</v>
      </c>
      <c r="S123" s="8" t="s">
        <v>50</v>
      </c>
      <c r="T123" s="8" t="s">
        <v>51</v>
      </c>
      <c r="U123" s="7" t="n">
        <v>36</v>
      </c>
      <c r="V123" s="7" t="n">
        <v>30</v>
      </c>
      <c r="W123" s="8" t="s">
        <v>52</v>
      </c>
      <c r="X123" s="8"/>
      <c r="Y123" s="8" t="s">
        <v>474</v>
      </c>
    </row>
    <row r="124" customFormat="false" ht="21.75" hidden="false" customHeight="true" outlineLevel="0" collapsed="false">
      <c r="B124" s="9" t="n">
        <v>120</v>
      </c>
      <c r="C124" s="9" t="s">
        <v>475</v>
      </c>
      <c r="D124" s="9" t="s">
        <v>476</v>
      </c>
      <c r="E124" s="9" t="s">
        <v>47</v>
      </c>
      <c r="F124" s="9" t="s">
        <v>48</v>
      </c>
      <c r="G124" s="9" t="s">
        <v>61</v>
      </c>
      <c r="H124" s="9" t="n">
        <v>6.3</v>
      </c>
      <c r="I124" s="9" t="n">
        <v>5</v>
      </c>
      <c r="J124" s="9" t="n">
        <v>7</v>
      </c>
      <c r="K124" s="9" t="n">
        <v>3</v>
      </c>
      <c r="L124" s="9" t="n">
        <v>8</v>
      </c>
      <c r="M124" s="9" t="n">
        <v>7</v>
      </c>
      <c r="N124" s="9" t="n">
        <v>8</v>
      </c>
      <c r="O124" s="9" t="n">
        <v>6</v>
      </c>
      <c r="P124" s="9" t="n">
        <v>7</v>
      </c>
      <c r="Q124" s="9" t="n">
        <v>7</v>
      </c>
      <c r="R124" s="9" t="n">
        <v>5</v>
      </c>
      <c r="S124" s="10" t="s">
        <v>55</v>
      </c>
      <c r="T124" s="10" t="s">
        <v>56</v>
      </c>
      <c r="U124" s="9" t="n">
        <v>40</v>
      </c>
      <c r="V124" s="9" t="n">
        <v>10</v>
      </c>
      <c r="W124" s="10" t="s">
        <v>52</v>
      </c>
      <c r="X124" s="10" t="s">
        <v>477</v>
      </c>
      <c r="Y124" s="10" t="s">
        <v>478</v>
      </c>
    </row>
    <row r="125" customFormat="false" ht="21.75" hidden="false" customHeight="true" outlineLevel="0" collapsed="false">
      <c r="B125" s="7" t="n">
        <v>121</v>
      </c>
      <c r="C125" s="7" t="s">
        <v>479</v>
      </c>
      <c r="D125" s="7" t="s">
        <v>480</v>
      </c>
      <c r="E125" s="7" t="s">
        <v>89</v>
      </c>
      <c r="F125" s="7" t="s">
        <v>90</v>
      </c>
      <c r="G125" s="7" t="s">
        <v>61</v>
      </c>
      <c r="H125" s="7" t="n">
        <v>6.3</v>
      </c>
      <c r="I125" s="7" t="n">
        <v>4</v>
      </c>
      <c r="J125" s="7" t="n">
        <v>8</v>
      </c>
      <c r="K125" s="7" t="n">
        <v>3</v>
      </c>
      <c r="L125" s="7" t="n">
        <v>7</v>
      </c>
      <c r="M125" s="7" t="n">
        <v>8</v>
      </c>
      <c r="N125" s="7" t="n">
        <v>7</v>
      </c>
      <c r="O125" s="7" t="n">
        <v>8</v>
      </c>
      <c r="P125" s="7" t="n">
        <v>7</v>
      </c>
      <c r="Q125" s="7" t="n">
        <v>8</v>
      </c>
      <c r="R125" s="7" t="n">
        <v>6</v>
      </c>
      <c r="S125" s="8" t="s">
        <v>55</v>
      </c>
      <c r="T125" s="8" t="s">
        <v>56</v>
      </c>
      <c r="U125" s="7" t="n">
        <v>50</v>
      </c>
      <c r="V125" s="7" t="n">
        <v>25</v>
      </c>
      <c r="W125" s="8" t="s">
        <v>57</v>
      </c>
      <c r="X125" s="8" t="s">
        <v>481</v>
      </c>
      <c r="Y125" s="8" t="s">
        <v>482</v>
      </c>
    </row>
    <row r="126" customFormat="false" ht="21.75" hidden="false" customHeight="true" outlineLevel="0" collapsed="false">
      <c r="B126" s="9" t="n">
        <v>122</v>
      </c>
      <c r="C126" s="9" t="s">
        <v>483</v>
      </c>
      <c r="D126" s="9" t="s">
        <v>484</v>
      </c>
      <c r="E126" s="9" t="s">
        <v>89</v>
      </c>
      <c r="F126" s="9" t="s">
        <v>90</v>
      </c>
      <c r="G126" s="9" t="s">
        <v>61</v>
      </c>
      <c r="H126" s="9" t="n">
        <v>6.3</v>
      </c>
      <c r="I126" s="9" t="n">
        <v>6</v>
      </c>
      <c r="J126" s="9" t="n">
        <v>4</v>
      </c>
      <c r="K126" s="9" t="n">
        <v>6</v>
      </c>
      <c r="L126" s="9" t="n">
        <v>10</v>
      </c>
      <c r="M126" s="9" t="n">
        <v>4</v>
      </c>
      <c r="N126" s="9" t="n">
        <v>8</v>
      </c>
      <c r="O126" s="9" t="n">
        <v>5</v>
      </c>
      <c r="P126" s="9" t="n">
        <v>10</v>
      </c>
      <c r="Q126" s="9" t="n">
        <v>6</v>
      </c>
      <c r="R126" s="9" t="n">
        <v>3</v>
      </c>
      <c r="S126" s="10" t="s">
        <v>123</v>
      </c>
      <c r="T126" s="10" t="s">
        <v>51</v>
      </c>
      <c r="U126" s="9" t="n">
        <v>8</v>
      </c>
      <c r="V126" s="9" t="n">
        <v>10</v>
      </c>
      <c r="W126" s="10" t="s">
        <v>52</v>
      </c>
      <c r="X126" s="10" t="s">
        <v>485</v>
      </c>
      <c r="Y126" s="10" t="s">
        <v>486</v>
      </c>
    </row>
    <row r="127" customFormat="false" ht="21.75" hidden="false" customHeight="true" outlineLevel="0" collapsed="false">
      <c r="B127" s="7" t="n">
        <v>123</v>
      </c>
      <c r="C127" s="7" t="s">
        <v>487</v>
      </c>
      <c r="D127" s="7" t="s">
        <v>488</v>
      </c>
      <c r="E127" s="7" t="s">
        <v>47</v>
      </c>
      <c r="F127" s="7" t="s">
        <v>48</v>
      </c>
      <c r="G127" s="7" t="s">
        <v>49</v>
      </c>
      <c r="H127" s="7" t="n">
        <v>6.28</v>
      </c>
      <c r="I127" s="7" t="n">
        <v>7.5</v>
      </c>
      <c r="J127" s="7" t="n">
        <v>7.5</v>
      </c>
      <c r="K127" s="7" t="n">
        <v>7</v>
      </c>
      <c r="L127" s="7" t="n">
        <v>8</v>
      </c>
      <c r="M127" s="7" t="n">
        <v>2.5</v>
      </c>
      <c r="N127" s="7" t="n">
        <v>8</v>
      </c>
      <c r="O127" s="7" t="n">
        <v>1</v>
      </c>
      <c r="P127" s="7" t="n">
        <v>6</v>
      </c>
      <c r="Q127" s="7" t="n">
        <v>4.5</v>
      </c>
      <c r="R127" s="7" t="n">
        <v>2.5</v>
      </c>
      <c r="S127" s="8" t="s">
        <v>50</v>
      </c>
      <c r="T127" s="8" t="s">
        <v>51</v>
      </c>
      <c r="U127" s="7" t="n">
        <v>12</v>
      </c>
      <c r="V127" s="7" t="n">
        <v>10</v>
      </c>
      <c r="W127" s="8" t="s">
        <v>52</v>
      </c>
      <c r="X127" s="8"/>
      <c r="Y127" s="8" t="s">
        <v>489</v>
      </c>
    </row>
    <row r="128" customFormat="false" ht="21.75" hidden="false" customHeight="true" outlineLevel="0" collapsed="false">
      <c r="B128" s="9" t="n">
        <v>124</v>
      </c>
      <c r="C128" s="9" t="s">
        <v>490</v>
      </c>
      <c r="D128" s="9" t="s">
        <v>491</v>
      </c>
      <c r="E128" s="9" t="s">
        <v>89</v>
      </c>
      <c r="F128" s="9" t="s">
        <v>90</v>
      </c>
      <c r="G128" s="9" t="s">
        <v>49</v>
      </c>
      <c r="H128" s="9" t="n">
        <v>6.28</v>
      </c>
      <c r="I128" s="9" t="n">
        <v>7</v>
      </c>
      <c r="J128" s="9" t="n">
        <v>6.5</v>
      </c>
      <c r="K128" s="9" t="n">
        <v>5</v>
      </c>
      <c r="L128" s="9" t="n">
        <v>6.5</v>
      </c>
      <c r="M128" s="9" t="n">
        <v>6.5</v>
      </c>
      <c r="N128" s="9" t="n">
        <v>5</v>
      </c>
      <c r="O128" s="9" t="n">
        <v>5</v>
      </c>
      <c r="P128" s="9" t="n">
        <v>7.5</v>
      </c>
      <c r="Q128" s="9" t="n">
        <v>9</v>
      </c>
      <c r="R128" s="9" t="n">
        <v>4</v>
      </c>
      <c r="S128" s="10" t="s">
        <v>56</v>
      </c>
      <c r="T128" s="10" t="s">
        <v>56</v>
      </c>
      <c r="U128" s="9" t="n">
        <v>36</v>
      </c>
      <c r="V128" s="9" t="n">
        <v>30</v>
      </c>
      <c r="W128" s="10" t="s">
        <v>52</v>
      </c>
      <c r="X128" s="10"/>
      <c r="Y128" s="10" t="s">
        <v>492</v>
      </c>
    </row>
    <row r="129" customFormat="false" ht="21.75" hidden="false" customHeight="true" outlineLevel="0" collapsed="false">
      <c r="B129" s="7" t="n">
        <v>125</v>
      </c>
      <c r="C129" s="7" t="s">
        <v>493</v>
      </c>
      <c r="D129" s="7" t="s">
        <v>494</v>
      </c>
      <c r="E129" s="7" t="s">
        <v>76</v>
      </c>
      <c r="F129" s="7" t="s">
        <v>77</v>
      </c>
      <c r="G129" s="7" t="s">
        <v>103</v>
      </c>
      <c r="H129" s="7" t="n">
        <v>6.28</v>
      </c>
      <c r="I129" s="7" t="n">
        <v>7.5</v>
      </c>
      <c r="J129" s="7" t="n">
        <v>5</v>
      </c>
      <c r="K129" s="7" t="n">
        <v>7</v>
      </c>
      <c r="L129" s="7" t="n">
        <v>6.5</v>
      </c>
      <c r="M129" s="7" t="n">
        <v>5</v>
      </c>
      <c r="N129" s="7" t="n">
        <v>8</v>
      </c>
      <c r="O129" s="7" t="n">
        <v>5</v>
      </c>
      <c r="P129" s="7" t="n">
        <v>7.5</v>
      </c>
      <c r="Q129" s="7" t="n">
        <v>4.5</v>
      </c>
      <c r="R129" s="7" t="n">
        <v>4</v>
      </c>
      <c r="S129" s="8" t="s">
        <v>50</v>
      </c>
      <c r="T129" s="8" t="s">
        <v>51</v>
      </c>
      <c r="U129" s="7" t="n">
        <v>36</v>
      </c>
      <c r="V129" s="7" t="n">
        <v>30</v>
      </c>
      <c r="W129" s="8" t="s">
        <v>52</v>
      </c>
      <c r="X129" s="8"/>
      <c r="Y129" s="8" t="s">
        <v>495</v>
      </c>
    </row>
    <row r="130" customFormat="false" ht="21.75" hidden="false" customHeight="true" outlineLevel="0" collapsed="false">
      <c r="B130" s="9" t="n">
        <v>126</v>
      </c>
      <c r="C130" s="9" t="s">
        <v>496</v>
      </c>
      <c r="D130" s="9" t="s">
        <v>497</v>
      </c>
      <c r="E130" s="9" t="s">
        <v>94</v>
      </c>
      <c r="F130" s="9" t="s">
        <v>95</v>
      </c>
      <c r="G130" s="9" t="s">
        <v>103</v>
      </c>
      <c r="H130" s="9" t="n">
        <v>6.25</v>
      </c>
      <c r="I130" s="9" t="n">
        <v>6.5</v>
      </c>
      <c r="J130" s="9" t="n">
        <v>5</v>
      </c>
      <c r="K130" s="9" t="n">
        <v>7</v>
      </c>
      <c r="L130" s="9" t="n">
        <v>8.5</v>
      </c>
      <c r="M130" s="9" t="n">
        <v>5</v>
      </c>
      <c r="N130" s="9" t="n">
        <v>7</v>
      </c>
      <c r="O130" s="9" t="n">
        <v>3.5</v>
      </c>
      <c r="P130" s="9" t="n">
        <v>7.5</v>
      </c>
      <c r="Q130" s="9" t="n">
        <v>5.5</v>
      </c>
      <c r="R130" s="9" t="n">
        <v>4</v>
      </c>
      <c r="S130" s="10" t="s">
        <v>123</v>
      </c>
      <c r="T130" s="10" t="s">
        <v>51</v>
      </c>
      <c r="U130" s="9" t="n">
        <v>12</v>
      </c>
      <c r="V130" s="9" t="n">
        <v>10</v>
      </c>
      <c r="W130" s="10" t="s">
        <v>52</v>
      </c>
      <c r="X130" s="10" t="s">
        <v>498</v>
      </c>
      <c r="Y130" s="10" t="s">
        <v>499</v>
      </c>
    </row>
    <row r="131" customFormat="false" ht="21.75" hidden="false" customHeight="true" outlineLevel="0" collapsed="false">
      <c r="B131" s="7" t="n">
        <v>127</v>
      </c>
      <c r="C131" s="7" t="s">
        <v>500</v>
      </c>
      <c r="D131" s="7" t="s">
        <v>501</v>
      </c>
      <c r="E131" s="7" t="s">
        <v>76</v>
      </c>
      <c r="F131" s="7" t="s">
        <v>77</v>
      </c>
      <c r="G131" s="7" t="s">
        <v>49</v>
      </c>
      <c r="H131" s="7" t="n">
        <v>6.25</v>
      </c>
      <c r="I131" s="7" t="n">
        <v>6.5</v>
      </c>
      <c r="J131" s="7" t="n">
        <v>6</v>
      </c>
      <c r="K131" s="7" t="n">
        <v>7</v>
      </c>
      <c r="L131" s="7" t="n">
        <v>6.5</v>
      </c>
      <c r="M131" s="7" t="n">
        <v>6</v>
      </c>
      <c r="N131" s="7" t="n">
        <v>6</v>
      </c>
      <c r="O131" s="7" t="n">
        <v>5</v>
      </c>
      <c r="P131" s="7" t="n">
        <v>7.5</v>
      </c>
      <c r="Q131" s="7" t="n">
        <v>7</v>
      </c>
      <c r="R131" s="7" t="n">
        <v>4</v>
      </c>
      <c r="S131" s="8" t="s">
        <v>123</v>
      </c>
      <c r="T131" s="8" t="s">
        <v>51</v>
      </c>
      <c r="U131" s="7" t="n">
        <v>36</v>
      </c>
      <c r="V131" s="7" t="n">
        <v>30</v>
      </c>
      <c r="W131" s="8" t="s">
        <v>52</v>
      </c>
      <c r="X131" s="8"/>
      <c r="Y131" s="8" t="s">
        <v>502</v>
      </c>
    </row>
    <row r="132" customFormat="false" ht="21.75" hidden="false" customHeight="true" outlineLevel="0" collapsed="false">
      <c r="B132" s="9" t="n">
        <v>128</v>
      </c>
      <c r="C132" s="9" t="s">
        <v>503</v>
      </c>
      <c r="D132" s="9" t="s">
        <v>504</v>
      </c>
      <c r="E132" s="9" t="s">
        <v>47</v>
      </c>
      <c r="F132" s="9" t="s">
        <v>48</v>
      </c>
      <c r="G132" s="9" t="s">
        <v>61</v>
      </c>
      <c r="H132" s="9" t="n">
        <v>6.25</v>
      </c>
      <c r="I132" s="9" t="n">
        <v>5</v>
      </c>
      <c r="J132" s="9" t="n">
        <v>6</v>
      </c>
      <c r="K132" s="9" t="n">
        <v>3</v>
      </c>
      <c r="L132" s="9" t="n">
        <v>10</v>
      </c>
      <c r="M132" s="9" t="n">
        <v>4</v>
      </c>
      <c r="N132" s="9" t="n">
        <v>8</v>
      </c>
      <c r="O132" s="9" t="n">
        <v>6</v>
      </c>
      <c r="P132" s="9" t="n">
        <v>10</v>
      </c>
      <c r="Q132" s="9" t="n">
        <v>7</v>
      </c>
      <c r="R132" s="9" t="n">
        <v>4</v>
      </c>
      <c r="S132" s="10" t="s">
        <v>123</v>
      </c>
      <c r="T132" s="10" t="s">
        <v>51</v>
      </c>
      <c r="U132" s="9" t="n">
        <v>8</v>
      </c>
      <c r="V132" s="9" t="n">
        <v>10</v>
      </c>
      <c r="W132" s="10" t="s">
        <v>52</v>
      </c>
      <c r="X132" s="10" t="s">
        <v>505</v>
      </c>
      <c r="Y132" s="10" t="s">
        <v>506</v>
      </c>
    </row>
    <row r="133" customFormat="false" ht="21.75" hidden="false" customHeight="true" outlineLevel="0" collapsed="false">
      <c r="B133" s="7" t="n">
        <v>129</v>
      </c>
      <c r="C133" s="7" t="s">
        <v>507</v>
      </c>
      <c r="D133" s="7" t="s">
        <v>508</v>
      </c>
      <c r="E133" s="7" t="s">
        <v>47</v>
      </c>
      <c r="F133" s="7" t="s">
        <v>48</v>
      </c>
      <c r="G133" s="7" t="s">
        <v>61</v>
      </c>
      <c r="H133" s="7" t="n">
        <v>6.25</v>
      </c>
      <c r="I133" s="7" t="n">
        <v>6</v>
      </c>
      <c r="J133" s="7" t="n">
        <v>7</v>
      </c>
      <c r="K133" s="7" t="n">
        <v>4</v>
      </c>
      <c r="L133" s="7" t="n">
        <v>6</v>
      </c>
      <c r="M133" s="7" t="n">
        <v>7</v>
      </c>
      <c r="N133" s="7" t="n">
        <v>8</v>
      </c>
      <c r="O133" s="7" t="n">
        <v>6</v>
      </c>
      <c r="P133" s="7" t="n">
        <v>6</v>
      </c>
      <c r="Q133" s="7" t="n">
        <v>7</v>
      </c>
      <c r="R133" s="7" t="n">
        <v>5</v>
      </c>
      <c r="S133" s="8" t="s">
        <v>55</v>
      </c>
      <c r="T133" s="8" t="s">
        <v>56</v>
      </c>
      <c r="U133" s="7" t="n">
        <v>40</v>
      </c>
      <c r="V133" s="7" t="n">
        <v>45</v>
      </c>
      <c r="W133" s="8" t="s">
        <v>57</v>
      </c>
      <c r="X133" s="8" t="s">
        <v>509</v>
      </c>
      <c r="Y133" s="8" t="s">
        <v>510</v>
      </c>
    </row>
    <row r="134" customFormat="false" ht="21.75" hidden="false" customHeight="true" outlineLevel="0" collapsed="false">
      <c r="B134" s="9" t="n">
        <v>130</v>
      </c>
      <c r="C134" s="9" t="s">
        <v>511</v>
      </c>
      <c r="D134" s="9" t="s">
        <v>512</v>
      </c>
      <c r="E134" s="9" t="s">
        <v>89</v>
      </c>
      <c r="F134" s="9" t="s">
        <v>90</v>
      </c>
      <c r="G134" s="9" t="s">
        <v>61</v>
      </c>
      <c r="H134" s="9" t="n">
        <v>6.25</v>
      </c>
      <c r="I134" s="9" t="n">
        <v>5</v>
      </c>
      <c r="J134" s="9" t="n">
        <v>7</v>
      </c>
      <c r="K134" s="9" t="n">
        <v>4</v>
      </c>
      <c r="L134" s="9" t="n">
        <v>8</v>
      </c>
      <c r="M134" s="9" t="n">
        <v>6</v>
      </c>
      <c r="N134" s="9" t="n">
        <v>8</v>
      </c>
      <c r="O134" s="9" t="n">
        <v>6</v>
      </c>
      <c r="P134" s="9" t="n">
        <v>7</v>
      </c>
      <c r="Q134" s="9" t="n">
        <v>7</v>
      </c>
      <c r="R134" s="9" t="n">
        <v>4</v>
      </c>
      <c r="S134" s="10" t="s">
        <v>55</v>
      </c>
      <c r="T134" s="10" t="s">
        <v>56</v>
      </c>
      <c r="U134" s="9" t="n">
        <v>30</v>
      </c>
      <c r="V134" s="9" t="n">
        <v>25</v>
      </c>
      <c r="W134" s="10" t="s">
        <v>57</v>
      </c>
      <c r="X134" s="10" t="s">
        <v>513</v>
      </c>
      <c r="Y134" s="10" t="s">
        <v>514</v>
      </c>
    </row>
    <row r="135" customFormat="false" ht="21.75" hidden="false" customHeight="true" outlineLevel="0" collapsed="false">
      <c r="B135" s="7" t="n">
        <v>131</v>
      </c>
      <c r="C135" s="7" t="s">
        <v>515</v>
      </c>
      <c r="D135" s="7" t="s">
        <v>516</v>
      </c>
      <c r="E135" s="7" t="s">
        <v>94</v>
      </c>
      <c r="F135" s="7" t="s">
        <v>95</v>
      </c>
      <c r="G135" s="7" t="s">
        <v>61</v>
      </c>
      <c r="H135" s="7" t="n">
        <v>6.25</v>
      </c>
      <c r="I135" s="7" t="n">
        <v>5</v>
      </c>
      <c r="J135" s="7" t="n">
        <v>6</v>
      </c>
      <c r="K135" s="7" t="n">
        <v>3</v>
      </c>
      <c r="L135" s="7" t="n">
        <v>9</v>
      </c>
      <c r="M135" s="7" t="n">
        <v>6</v>
      </c>
      <c r="N135" s="7" t="n">
        <v>7</v>
      </c>
      <c r="O135" s="7" t="n">
        <v>7</v>
      </c>
      <c r="P135" s="7" t="n">
        <v>9</v>
      </c>
      <c r="Q135" s="7" t="n">
        <v>7</v>
      </c>
      <c r="R135" s="7" t="n">
        <v>5</v>
      </c>
      <c r="S135" s="8" t="s">
        <v>56</v>
      </c>
      <c r="T135" s="8" t="s">
        <v>56</v>
      </c>
      <c r="U135" s="7" t="n">
        <v>30</v>
      </c>
      <c r="V135" s="7" t="n">
        <v>10</v>
      </c>
      <c r="W135" s="8" t="s">
        <v>52</v>
      </c>
      <c r="X135" s="8" t="s">
        <v>517</v>
      </c>
      <c r="Y135" s="8" t="s">
        <v>518</v>
      </c>
    </row>
    <row r="136" customFormat="false" ht="21.75" hidden="false" customHeight="true" outlineLevel="0" collapsed="false">
      <c r="B136" s="9" t="n">
        <v>132</v>
      </c>
      <c r="C136" s="9" t="s">
        <v>519</v>
      </c>
      <c r="D136" s="9" t="s">
        <v>520</v>
      </c>
      <c r="E136" s="9" t="s">
        <v>350</v>
      </c>
      <c r="F136" s="9" t="s">
        <v>350</v>
      </c>
      <c r="G136" s="9" t="s">
        <v>61</v>
      </c>
      <c r="H136" s="9" t="n">
        <v>6.25</v>
      </c>
      <c r="I136" s="9" t="n">
        <v>7</v>
      </c>
      <c r="J136" s="9" t="n">
        <v>5</v>
      </c>
      <c r="K136" s="9" t="n">
        <v>6</v>
      </c>
      <c r="L136" s="9" t="n">
        <v>10</v>
      </c>
      <c r="M136" s="9" t="n">
        <v>3</v>
      </c>
      <c r="N136" s="9" t="n">
        <v>7</v>
      </c>
      <c r="O136" s="9" t="n">
        <v>2</v>
      </c>
      <c r="P136" s="9" t="n">
        <v>10</v>
      </c>
      <c r="Q136" s="9" t="n">
        <v>6</v>
      </c>
      <c r="R136" s="9" t="n">
        <v>2</v>
      </c>
      <c r="S136" s="10" t="s">
        <v>123</v>
      </c>
      <c r="T136" s="10" t="s">
        <v>51</v>
      </c>
      <c r="U136" s="9" t="n">
        <v>14</v>
      </c>
      <c r="V136" s="9" t="n">
        <v>10</v>
      </c>
      <c r="W136" s="10" t="s">
        <v>52</v>
      </c>
      <c r="X136" s="10" t="s">
        <v>521</v>
      </c>
      <c r="Y136" s="10" t="s">
        <v>522</v>
      </c>
    </row>
    <row r="137" customFormat="false" ht="21.75" hidden="false" customHeight="true" outlineLevel="0" collapsed="false">
      <c r="B137" s="7" t="n">
        <v>133</v>
      </c>
      <c r="C137" s="7" t="s">
        <v>523</v>
      </c>
      <c r="D137" s="7" t="s">
        <v>524</v>
      </c>
      <c r="E137" s="7" t="s">
        <v>47</v>
      </c>
      <c r="F137" s="7" t="s">
        <v>48</v>
      </c>
      <c r="G137" s="7" t="s">
        <v>49</v>
      </c>
      <c r="H137" s="7" t="n">
        <v>6.2</v>
      </c>
      <c r="I137" s="7" t="n">
        <v>6.5</v>
      </c>
      <c r="J137" s="7" t="n">
        <v>5</v>
      </c>
      <c r="K137" s="7" t="n">
        <v>7</v>
      </c>
      <c r="L137" s="7" t="n">
        <v>8.5</v>
      </c>
      <c r="M137" s="7" t="n">
        <v>5</v>
      </c>
      <c r="N137" s="7" t="n">
        <v>7</v>
      </c>
      <c r="O137" s="7" t="n">
        <v>3.5</v>
      </c>
      <c r="P137" s="7" t="n">
        <v>7.5</v>
      </c>
      <c r="Q137" s="7" t="n">
        <v>4.5</v>
      </c>
      <c r="R137" s="7" t="n">
        <v>4</v>
      </c>
      <c r="S137" s="8" t="s">
        <v>123</v>
      </c>
      <c r="T137" s="8" t="s">
        <v>51</v>
      </c>
      <c r="U137" s="7" t="n">
        <v>12</v>
      </c>
      <c r="V137" s="7" t="n">
        <v>10</v>
      </c>
      <c r="W137" s="8" t="s">
        <v>52</v>
      </c>
      <c r="X137" s="8"/>
      <c r="Y137" s="8" t="s">
        <v>524</v>
      </c>
    </row>
    <row r="138" customFormat="false" ht="21.75" hidden="false" customHeight="true" outlineLevel="0" collapsed="false">
      <c r="B138" s="9" t="n">
        <v>134</v>
      </c>
      <c r="C138" s="9" t="s">
        <v>525</v>
      </c>
      <c r="D138" s="9" t="s">
        <v>526</v>
      </c>
      <c r="E138" s="9" t="s">
        <v>94</v>
      </c>
      <c r="F138" s="9" t="s">
        <v>95</v>
      </c>
      <c r="G138" s="9" t="s">
        <v>49</v>
      </c>
      <c r="H138" s="9" t="n">
        <v>6.2</v>
      </c>
      <c r="I138" s="9" t="n">
        <v>5</v>
      </c>
      <c r="J138" s="9" t="n">
        <v>6</v>
      </c>
      <c r="K138" s="9" t="n">
        <v>5</v>
      </c>
      <c r="L138" s="9" t="n">
        <v>8</v>
      </c>
      <c r="M138" s="9" t="n">
        <v>5</v>
      </c>
      <c r="N138" s="9" t="n">
        <v>6</v>
      </c>
      <c r="O138" s="9" t="n">
        <v>9</v>
      </c>
      <c r="P138" s="9" t="n">
        <v>6</v>
      </c>
      <c r="Q138" s="9" t="n">
        <v>8</v>
      </c>
      <c r="R138" s="9" t="n">
        <v>7</v>
      </c>
      <c r="S138" s="10" t="s">
        <v>123</v>
      </c>
      <c r="T138" s="10" t="s">
        <v>51</v>
      </c>
      <c r="U138" s="9" t="n">
        <v>12</v>
      </c>
      <c r="V138" s="9" t="n">
        <v>10</v>
      </c>
      <c r="W138" s="10" t="s">
        <v>52</v>
      </c>
      <c r="X138" s="10" t="s">
        <v>527</v>
      </c>
      <c r="Y138" s="10" t="s">
        <v>528</v>
      </c>
    </row>
    <row r="139" customFormat="false" ht="21.75" hidden="false" customHeight="true" outlineLevel="0" collapsed="false">
      <c r="B139" s="7" t="n">
        <v>135</v>
      </c>
      <c r="C139" s="7" t="s">
        <v>529</v>
      </c>
      <c r="D139" s="7" t="s">
        <v>530</v>
      </c>
      <c r="E139" s="7" t="s">
        <v>47</v>
      </c>
      <c r="F139" s="7" t="s">
        <v>48</v>
      </c>
      <c r="G139" s="7" t="s">
        <v>61</v>
      </c>
      <c r="H139" s="7" t="n">
        <v>6.2</v>
      </c>
      <c r="I139" s="7" t="n">
        <v>7</v>
      </c>
      <c r="J139" s="7" t="n">
        <v>4</v>
      </c>
      <c r="K139" s="7" t="n">
        <v>5</v>
      </c>
      <c r="L139" s="7" t="n">
        <v>10</v>
      </c>
      <c r="M139" s="7" t="n">
        <v>4</v>
      </c>
      <c r="N139" s="7" t="n">
        <v>9</v>
      </c>
      <c r="O139" s="7" t="n">
        <v>3</v>
      </c>
      <c r="P139" s="7" t="n">
        <v>8</v>
      </c>
      <c r="Q139" s="7" t="n">
        <v>5</v>
      </c>
      <c r="R139" s="7" t="n">
        <v>2</v>
      </c>
      <c r="S139" s="8" t="s">
        <v>50</v>
      </c>
      <c r="T139" s="8" t="s">
        <v>51</v>
      </c>
      <c r="U139" s="7" t="n">
        <v>8</v>
      </c>
      <c r="V139" s="7" t="n">
        <v>10</v>
      </c>
      <c r="W139" s="8" t="s">
        <v>52</v>
      </c>
      <c r="X139" s="8" t="s">
        <v>531</v>
      </c>
      <c r="Y139" s="8" t="s">
        <v>532</v>
      </c>
    </row>
    <row r="140" customFormat="false" ht="21.75" hidden="false" customHeight="true" outlineLevel="0" collapsed="false">
      <c r="B140" s="9" t="n">
        <v>136</v>
      </c>
      <c r="C140" s="9" t="s">
        <v>533</v>
      </c>
      <c r="D140" s="9" t="s">
        <v>534</v>
      </c>
      <c r="E140" s="9" t="s">
        <v>47</v>
      </c>
      <c r="F140" s="9" t="s">
        <v>48</v>
      </c>
      <c r="G140" s="9" t="s">
        <v>61</v>
      </c>
      <c r="H140" s="9" t="n">
        <v>6.2</v>
      </c>
      <c r="I140" s="9" t="n">
        <v>4</v>
      </c>
      <c r="J140" s="9" t="n">
        <v>6</v>
      </c>
      <c r="K140" s="9" t="n">
        <v>4</v>
      </c>
      <c r="L140" s="9" t="n">
        <v>10</v>
      </c>
      <c r="M140" s="9" t="n">
        <v>5</v>
      </c>
      <c r="N140" s="9" t="n">
        <v>7</v>
      </c>
      <c r="O140" s="9" t="n">
        <v>7</v>
      </c>
      <c r="P140" s="9" t="n">
        <v>10</v>
      </c>
      <c r="Q140" s="9" t="n">
        <v>6</v>
      </c>
      <c r="R140" s="9" t="n">
        <v>5</v>
      </c>
      <c r="S140" s="10" t="s">
        <v>56</v>
      </c>
      <c r="T140" s="10" t="s">
        <v>56</v>
      </c>
      <c r="U140" s="9" t="n">
        <v>12</v>
      </c>
      <c r="V140" s="9" t="n">
        <v>10</v>
      </c>
      <c r="W140" s="10" t="s">
        <v>52</v>
      </c>
      <c r="X140" s="10" t="s">
        <v>535</v>
      </c>
      <c r="Y140" s="10" t="s">
        <v>536</v>
      </c>
    </row>
    <row r="141" customFormat="false" ht="21.75" hidden="false" customHeight="true" outlineLevel="0" collapsed="false">
      <c r="B141" s="7" t="n">
        <v>137</v>
      </c>
      <c r="C141" s="7" t="s">
        <v>537</v>
      </c>
      <c r="D141" s="7" t="s">
        <v>538</v>
      </c>
      <c r="E141" s="7" t="s">
        <v>94</v>
      </c>
      <c r="F141" s="7" t="s">
        <v>95</v>
      </c>
      <c r="G141" s="7" t="s">
        <v>61</v>
      </c>
      <c r="H141" s="7" t="n">
        <v>6.2</v>
      </c>
      <c r="I141" s="7" t="n">
        <v>6</v>
      </c>
      <c r="J141" s="7" t="n">
        <v>6</v>
      </c>
      <c r="K141" s="7" t="n">
        <v>4</v>
      </c>
      <c r="L141" s="7" t="n">
        <v>9</v>
      </c>
      <c r="M141" s="7" t="n">
        <v>5</v>
      </c>
      <c r="N141" s="7" t="n">
        <v>8</v>
      </c>
      <c r="O141" s="7" t="n">
        <v>6</v>
      </c>
      <c r="P141" s="7" t="n">
        <v>5</v>
      </c>
      <c r="Q141" s="7" t="n">
        <v>7</v>
      </c>
      <c r="R141" s="7" t="n">
        <v>3</v>
      </c>
      <c r="S141" s="8" t="s">
        <v>56</v>
      </c>
      <c r="T141" s="8" t="s">
        <v>72</v>
      </c>
      <c r="U141" s="7" t="n">
        <v>40</v>
      </c>
      <c r="V141" s="7" t="n">
        <v>30</v>
      </c>
      <c r="W141" s="8" t="s">
        <v>52</v>
      </c>
      <c r="X141" s="8" t="s">
        <v>539</v>
      </c>
      <c r="Y141" s="8" t="s">
        <v>540</v>
      </c>
    </row>
    <row r="142" customFormat="false" ht="21.75" hidden="false" customHeight="true" outlineLevel="0" collapsed="false">
      <c r="B142" s="9" t="n">
        <v>138</v>
      </c>
      <c r="C142" s="9" t="s">
        <v>541</v>
      </c>
      <c r="D142" s="9" t="s">
        <v>542</v>
      </c>
      <c r="E142" s="9" t="s">
        <v>94</v>
      </c>
      <c r="F142" s="9" t="s">
        <v>95</v>
      </c>
      <c r="G142" s="9" t="s">
        <v>61</v>
      </c>
      <c r="H142" s="9" t="n">
        <v>6.2</v>
      </c>
      <c r="I142" s="9" t="n">
        <v>7</v>
      </c>
      <c r="J142" s="9" t="n">
        <v>3</v>
      </c>
      <c r="K142" s="9" t="n">
        <v>5</v>
      </c>
      <c r="L142" s="9" t="n">
        <v>10</v>
      </c>
      <c r="M142" s="9" t="n">
        <v>3</v>
      </c>
      <c r="N142" s="9" t="n">
        <v>9</v>
      </c>
      <c r="O142" s="9" t="n">
        <v>4</v>
      </c>
      <c r="P142" s="9" t="n">
        <v>10</v>
      </c>
      <c r="Q142" s="9" t="n">
        <v>6</v>
      </c>
      <c r="R142" s="9" t="n">
        <v>3</v>
      </c>
      <c r="S142" s="10" t="s">
        <v>50</v>
      </c>
      <c r="T142" s="10" t="s">
        <v>51</v>
      </c>
      <c r="U142" s="9" t="n">
        <v>8</v>
      </c>
      <c r="V142" s="9" t="n">
        <v>10</v>
      </c>
      <c r="W142" s="10" t="s">
        <v>52</v>
      </c>
      <c r="X142" s="10" t="s">
        <v>543</v>
      </c>
      <c r="Y142" s="10" t="s">
        <v>544</v>
      </c>
    </row>
    <row r="143" customFormat="false" ht="21.75" hidden="false" customHeight="true" outlineLevel="0" collapsed="false">
      <c r="B143" s="7" t="n">
        <v>139</v>
      </c>
      <c r="C143" s="7" t="s">
        <v>545</v>
      </c>
      <c r="D143" s="7" t="s">
        <v>546</v>
      </c>
      <c r="E143" s="7" t="s">
        <v>94</v>
      </c>
      <c r="F143" s="7" t="s">
        <v>95</v>
      </c>
      <c r="G143" s="7" t="s">
        <v>61</v>
      </c>
      <c r="H143" s="7" t="n">
        <v>6.2</v>
      </c>
      <c r="I143" s="7" t="n">
        <v>6</v>
      </c>
      <c r="J143" s="7" t="n">
        <v>5</v>
      </c>
      <c r="K143" s="7" t="n">
        <v>4</v>
      </c>
      <c r="L143" s="7" t="n">
        <v>9</v>
      </c>
      <c r="M143" s="7" t="n">
        <v>6</v>
      </c>
      <c r="N143" s="7" t="n">
        <v>8</v>
      </c>
      <c r="O143" s="7" t="n">
        <v>6</v>
      </c>
      <c r="P143" s="7" t="n">
        <v>5</v>
      </c>
      <c r="Q143" s="7" t="n">
        <v>7</v>
      </c>
      <c r="R143" s="7" t="n">
        <v>4</v>
      </c>
      <c r="S143" s="8" t="s">
        <v>56</v>
      </c>
      <c r="T143" s="8" t="s">
        <v>72</v>
      </c>
      <c r="U143" s="7" t="n">
        <v>40</v>
      </c>
      <c r="V143" s="7" t="n">
        <v>30</v>
      </c>
      <c r="W143" s="8" t="s">
        <v>52</v>
      </c>
      <c r="X143" s="8" t="s">
        <v>547</v>
      </c>
      <c r="Y143" s="8" t="s">
        <v>548</v>
      </c>
    </row>
    <row r="144" customFormat="false" ht="21.75" hidden="false" customHeight="true" outlineLevel="0" collapsed="false">
      <c r="B144" s="9" t="n">
        <v>140</v>
      </c>
      <c r="C144" s="9" t="s">
        <v>549</v>
      </c>
      <c r="D144" s="9" t="s">
        <v>550</v>
      </c>
      <c r="E144" s="9" t="s">
        <v>94</v>
      </c>
      <c r="F144" s="9" t="s">
        <v>95</v>
      </c>
      <c r="G144" s="9" t="s">
        <v>61</v>
      </c>
      <c r="H144" s="9" t="n">
        <v>6.2</v>
      </c>
      <c r="I144" s="9" t="n">
        <v>6</v>
      </c>
      <c r="J144" s="9" t="n">
        <v>4</v>
      </c>
      <c r="K144" s="9" t="n">
        <v>6</v>
      </c>
      <c r="L144" s="9" t="n">
        <v>10</v>
      </c>
      <c r="M144" s="9" t="n">
        <v>3</v>
      </c>
      <c r="N144" s="9" t="n">
        <v>8</v>
      </c>
      <c r="O144" s="9" t="n">
        <v>4</v>
      </c>
      <c r="P144" s="9" t="n">
        <v>10</v>
      </c>
      <c r="Q144" s="9" t="n">
        <v>7</v>
      </c>
      <c r="R144" s="9" t="n">
        <v>3</v>
      </c>
      <c r="S144" s="10" t="s">
        <v>50</v>
      </c>
      <c r="T144" s="10" t="s">
        <v>51</v>
      </c>
      <c r="U144" s="9" t="n">
        <v>8</v>
      </c>
      <c r="V144" s="9" t="n">
        <v>10</v>
      </c>
      <c r="W144" s="10" t="s">
        <v>52</v>
      </c>
      <c r="X144" s="10" t="s">
        <v>551</v>
      </c>
      <c r="Y144" s="10" t="s">
        <v>552</v>
      </c>
    </row>
    <row r="145" customFormat="false" ht="21.75" hidden="false" customHeight="true" outlineLevel="0" collapsed="false">
      <c r="B145" s="7" t="n">
        <v>141</v>
      </c>
      <c r="C145" s="7" t="s">
        <v>553</v>
      </c>
      <c r="D145" s="7" t="s">
        <v>554</v>
      </c>
      <c r="E145" s="7" t="s">
        <v>305</v>
      </c>
      <c r="F145" s="7" t="s">
        <v>305</v>
      </c>
      <c r="G145" s="7" t="s">
        <v>61</v>
      </c>
      <c r="H145" s="7" t="n">
        <v>6.2</v>
      </c>
      <c r="I145" s="7" t="n">
        <v>7</v>
      </c>
      <c r="J145" s="7" t="n">
        <v>4</v>
      </c>
      <c r="K145" s="7" t="n">
        <v>5</v>
      </c>
      <c r="L145" s="7" t="n">
        <v>10</v>
      </c>
      <c r="M145" s="7" t="n">
        <v>4</v>
      </c>
      <c r="N145" s="7" t="n">
        <v>9</v>
      </c>
      <c r="O145" s="7" t="n">
        <v>3</v>
      </c>
      <c r="P145" s="7" t="n">
        <v>8</v>
      </c>
      <c r="Q145" s="7" t="n">
        <v>5</v>
      </c>
      <c r="R145" s="7" t="n">
        <v>2</v>
      </c>
      <c r="S145" s="8" t="s">
        <v>50</v>
      </c>
      <c r="T145" s="8" t="s">
        <v>51</v>
      </c>
      <c r="U145" s="7" t="n">
        <v>20</v>
      </c>
      <c r="V145" s="7" t="n">
        <v>10</v>
      </c>
      <c r="W145" s="8" t="s">
        <v>52</v>
      </c>
      <c r="X145" s="8" t="s">
        <v>555</v>
      </c>
      <c r="Y145" s="8" t="s">
        <v>556</v>
      </c>
    </row>
    <row r="146" customFormat="false" ht="21.75" hidden="false" customHeight="true" outlineLevel="0" collapsed="false">
      <c r="B146" s="9" t="n">
        <v>142</v>
      </c>
      <c r="C146" s="9" t="s">
        <v>557</v>
      </c>
      <c r="D146" s="9" t="s">
        <v>558</v>
      </c>
      <c r="E146" s="9" t="s">
        <v>305</v>
      </c>
      <c r="F146" s="9" t="s">
        <v>305</v>
      </c>
      <c r="G146" s="9" t="s">
        <v>61</v>
      </c>
      <c r="H146" s="9" t="n">
        <v>6.2</v>
      </c>
      <c r="I146" s="9" t="n">
        <v>6</v>
      </c>
      <c r="J146" s="9" t="n">
        <v>5</v>
      </c>
      <c r="K146" s="9" t="n">
        <v>4</v>
      </c>
      <c r="L146" s="9" t="n">
        <v>10</v>
      </c>
      <c r="M146" s="9" t="n">
        <v>5</v>
      </c>
      <c r="N146" s="9" t="n">
        <v>8</v>
      </c>
      <c r="O146" s="9" t="n">
        <v>4</v>
      </c>
      <c r="P146" s="9" t="n">
        <v>8</v>
      </c>
      <c r="Q146" s="9" t="n">
        <v>6</v>
      </c>
      <c r="R146" s="9" t="n">
        <v>3</v>
      </c>
      <c r="S146" s="10" t="s">
        <v>56</v>
      </c>
      <c r="T146" s="10" t="s">
        <v>51</v>
      </c>
      <c r="U146" s="9" t="n">
        <v>18</v>
      </c>
      <c r="V146" s="9" t="n">
        <v>10</v>
      </c>
      <c r="W146" s="10" t="s">
        <v>52</v>
      </c>
      <c r="X146" s="10" t="s">
        <v>559</v>
      </c>
      <c r="Y146" s="10" t="s">
        <v>560</v>
      </c>
    </row>
    <row r="147" customFormat="false" ht="21.75" hidden="false" customHeight="true" outlineLevel="0" collapsed="false">
      <c r="B147" s="7" t="n">
        <v>143</v>
      </c>
      <c r="C147" s="7" t="s">
        <v>561</v>
      </c>
      <c r="D147" s="7" t="s">
        <v>562</v>
      </c>
      <c r="E147" s="7" t="s">
        <v>258</v>
      </c>
      <c r="F147" s="7" t="s">
        <v>259</v>
      </c>
      <c r="G147" s="7" t="s">
        <v>61</v>
      </c>
      <c r="H147" s="7" t="n">
        <v>6.2</v>
      </c>
      <c r="I147" s="7" t="n">
        <v>6</v>
      </c>
      <c r="J147" s="7" t="n">
        <v>5</v>
      </c>
      <c r="K147" s="7" t="n">
        <v>6</v>
      </c>
      <c r="L147" s="7" t="n">
        <v>7</v>
      </c>
      <c r="M147" s="7" t="n">
        <v>6</v>
      </c>
      <c r="N147" s="7" t="n">
        <v>8</v>
      </c>
      <c r="O147" s="7" t="n">
        <v>6</v>
      </c>
      <c r="P147" s="7" t="n">
        <v>5</v>
      </c>
      <c r="Q147" s="7" t="n">
        <v>8</v>
      </c>
      <c r="R147" s="7" t="n">
        <v>5</v>
      </c>
      <c r="S147" s="8" t="s">
        <v>55</v>
      </c>
      <c r="T147" s="8" t="s">
        <v>56</v>
      </c>
      <c r="U147" s="7" t="n">
        <v>40</v>
      </c>
      <c r="V147" s="7" t="n">
        <v>30</v>
      </c>
      <c r="W147" s="8" t="s">
        <v>52</v>
      </c>
      <c r="X147" s="8" t="s">
        <v>563</v>
      </c>
      <c r="Y147" s="8" t="s">
        <v>564</v>
      </c>
    </row>
    <row r="148" customFormat="false" ht="21.75" hidden="false" customHeight="true" outlineLevel="0" collapsed="false">
      <c r="B148" s="9" t="n">
        <v>144</v>
      </c>
      <c r="C148" s="9" t="s">
        <v>565</v>
      </c>
      <c r="D148" s="9" t="s">
        <v>566</v>
      </c>
      <c r="E148" s="9" t="s">
        <v>89</v>
      </c>
      <c r="F148" s="9" t="s">
        <v>90</v>
      </c>
      <c r="G148" s="9" t="s">
        <v>49</v>
      </c>
      <c r="H148" s="9" t="n">
        <v>6.18</v>
      </c>
      <c r="I148" s="9" t="n">
        <v>5.5</v>
      </c>
      <c r="J148" s="9" t="n">
        <v>7</v>
      </c>
      <c r="K148" s="9" t="n">
        <v>5</v>
      </c>
      <c r="L148" s="9" t="n">
        <v>8.5</v>
      </c>
      <c r="M148" s="9" t="n">
        <v>5.5</v>
      </c>
      <c r="N148" s="9" t="n">
        <v>6</v>
      </c>
      <c r="O148" s="9" t="n">
        <v>5</v>
      </c>
      <c r="P148" s="9" t="n">
        <v>6</v>
      </c>
      <c r="Q148" s="9" t="n">
        <v>7</v>
      </c>
      <c r="R148" s="9" t="n">
        <v>4</v>
      </c>
      <c r="S148" s="10" t="s">
        <v>123</v>
      </c>
      <c r="T148" s="10" t="s">
        <v>51</v>
      </c>
      <c r="U148" s="9" t="n">
        <v>12</v>
      </c>
      <c r="V148" s="9" t="n">
        <v>10</v>
      </c>
      <c r="W148" s="10" t="s">
        <v>52</v>
      </c>
      <c r="X148" s="10"/>
      <c r="Y148" s="10" t="s">
        <v>567</v>
      </c>
    </row>
    <row r="149" customFormat="false" ht="21.75" hidden="false" customHeight="true" outlineLevel="0" collapsed="false">
      <c r="B149" s="7" t="n">
        <v>145</v>
      </c>
      <c r="C149" s="7" t="s">
        <v>568</v>
      </c>
      <c r="D149" s="7" t="s">
        <v>569</v>
      </c>
      <c r="E149" s="7" t="s">
        <v>89</v>
      </c>
      <c r="F149" s="7" t="s">
        <v>90</v>
      </c>
      <c r="G149" s="7" t="s">
        <v>49</v>
      </c>
      <c r="H149" s="7" t="n">
        <v>6.17</v>
      </c>
      <c r="I149" s="7" t="n">
        <v>7</v>
      </c>
      <c r="J149" s="7" t="n">
        <v>7.5</v>
      </c>
      <c r="K149" s="7" t="n">
        <v>5</v>
      </c>
      <c r="L149" s="7" t="n">
        <v>6.5</v>
      </c>
      <c r="M149" s="7" t="n">
        <v>6</v>
      </c>
      <c r="N149" s="7" t="n">
        <v>5</v>
      </c>
      <c r="O149" s="7" t="n">
        <v>5.5</v>
      </c>
      <c r="P149" s="7" t="n">
        <v>7.5</v>
      </c>
      <c r="Q149" s="7" t="n">
        <v>4.5</v>
      </c>
      <c r="R149" s="7" t="n">
        <v>4</v>
      </c>
      <c r="S149" s="8" t="s">
        <v>123</v>
      </c>
      <c r="T149" s="8" t="s">
        <v>51</v>
      </c>
      <c r="U149" s="7" t="n">
        <v>36</v>
      </c>
      <c r="V149" s="7" t="n">
        <v>30</v>
      </c>
      <c r="W149" s="8" t="s">
        <v>52</v>
      </c>
      <c r="X149" s="8"/>
      <c r="Y149" s="8" t="s">
        <v>570</v>
      </c>
    </row>
    <row r="150" customFormat="false" ht="21.75" hidden="false" customHeight="true" outlineLevel="0" collapsed="false">
      <c r="B150" s="9" t="n">
        <v>146</v>
      </c>
      <c r="C150" s="9" t="s">
        <v>571</v>
      </c>
      <c r="D150" s="9" t="s">
        <v>572</v>
      </c>
      <c r="E150" s="9" t="s">
        <v>76</v>
      </c>
      <c r="F150" s="9" t="s">
        <v>77</v>
      </c>
      <c r="G150" s="9" t="s">
        <v>49</v>
      </c>
      <c r="H150" s="9" t="n">
        <v>6.15</v>
      </c>
      <c r="I150" s="9" t="n">
        <v>6.5</v>
      </c>
      <c r="J150" s="9" t="n">
        <v>7</v>
      </c>
      <c r="K150" s="9" t="n">
        <v>9</v>
      </c>
      <c r="L150" s="9" t="n">
        <v>5.5</v>
      </c>
      <c r="M150" s="9" t="n">
        <v>6</v>
      </c>
      <c r="N150" s="9" t="n">
        <v>5</v>
      </c>
      <c r="O150" s="9" t="n">
        <v>5</v>
      </c>
      <c r="P150" s="9" t="n">
        <v>6</v>
      </c>
      <c r="Q150" s="9" t="n">
        <v>4.5</v>
      </c>
      <c r="R150" s="9" t="n">
        <v>4</v>
      </c>
      <c r="S150" s="10" t="s">
        <v>123</v>
      </c>
      <c r="T150" s="10" t="s">
        <v>56</v>
      </c>
      <c r="U150" s="9" t="n">
        <v>52</v>
      </c>
      <c r="V150" s="9" t="n">
        <v>45</v>
      </c>
      <c r="W150" s="10" t="s">
        <v>57</v>
      </c>
      <c r="X150" s="10"/>
      <c r="Y150" s="10" t="s">
        <v>573</v>
      </c>
    </row>
    <row r="151" customFormat="false" ht="21.75" hidden="false" customHeight="true" outlineLevel="0" collapsed="false">
      <c r="B151" s="7" t="n">
        <v>147</v>
      </c>
      <c r="C151" s="7" t="s">
        <v>574</v>
      </c>
      <c r="D151" s="7" t="s">
        <v>575</v>
      </c>
      <c r="E151" s="7" t="s">
        <v>89</v>
      </c>
      <c r="F151" s="7" t="s">
        <v>90</v>
      </c>
      <c r="G151" s="7" t="s">
        <v>61</v>
      </c>
      <c r="H151" s="7" t="n">
        <v>6.15</v>
      </c>
      <c r="I151" s="7" t="n">
        <v>4</v>
      </c>
      <c r="J151" s="7" t="n">
        <v>7</v>
      </c>
      <c r="K151" s="7" t="n">
        <v>2</v>
      </c>
      <c r="L151" s="7" t="n">
        <v>9</v>
      </c>
      <c r="M151" s="7" t="n">
        <v>6</v>
      </c>
      <c r="N151" s="7" t="n">
        <v>8</v>
      </c>
      <c r="O151" s="7" t="n">
        <v>7</v>
      </c>
      <c r="P151" s="7" t="n">
        <v>8</v>
      </c>
      <c r="Q151" s="7" t="n">
        <v>7</v>
      </c>
      <c r="R151" s="7" t="n">
        <v>5</v>
      </c>
      <c r="S151" s="8" t="s">
        <v>56</v>
      </c>
      <c r="T151" s="8" t="s">
        <v>56</v>
      </c>
      <c r="U151" s="7" t="n">
        <v>20</v>
      </c>
      <c r="V151" s="7" t="n">
        <v>10</v>
      </c>
      <c r="W151" s="8" t="s">
        <v>52</v>
      </c>
      <c r="X151" s="8" t="s">
        <v>576</v>
      </c>
      <c r="Y151" s="8" t="s">
        <v>577</v>
      </c>
    </row>
    <row r="152" customFormat="false" ht="21.75" hidden="false" customHeight="true" outlineLevel="0" collapsed="false">
      <c r="B152" s="9" t="n">
        <v>148</v>
      </c>
      <c r="C152" s="9" t="s">
        <v>578</v>
      </c>
      <c r="D152" s="9" t="s">
        <v>579</v>
      </c>
      <c r="E152" s="9" t="s">
        <v>89</v>
      </c>
      <c r="F152" s="9" t="s">
        <v>90</v>
      </c>
      <c r="G152" s="9" t="s">
        <v>61</v>
      </c>
      <c r="H152" s="9" t="n">
        <v>6.15</v>
      </c>
      <c r="I152" s="9" t="n">
        <v>5</v>
      </c>
      <c r="J152" s="9" t="n">
        <v>5</v>
      </c>
      <c r="K152" s="9" t="n">
        <v>4</v>
      </c>
      <c r="L152" s="9" t="n">
        <v>10</v>
      </c>
      <c r="M152" s="9" t="n">
        <v>4</v>
      </c>
      <c r="N152" s="9" t="n">
        <v>8</v>
      </c>
      <c r="O152" s="9" t="n">
        <v>6</v>
      </c>
      <c r="P152" s="9" t="n">
        <v>9</v>
      </c>
      <c r="Q152" s="9" t="n">
        <v>7</v>
      </c>
      <c r="R152" s="9" t="n">
        <v>4</v>
      </c>
      <c r="S152" s="10" t="s">
        <v>123</v>
      </c>
      <c r="T152" s="10" t="s">
        <v>51</v>
      </c>
      <c r="U152" s="9" t="n">
        <v>10</v>
      </c>
      <c r="V152" s="9" t="n">
        <v>10</v>
      </c>
      <c r="W152" s="10" t="s">
        <v>52</v>
      </c>
      <c r="X152" s="10" t="s">
        <v>580</v>
      </c>
      <c r="Y152" s="10" t="s">
        <v>581</v>
      </c>
    </row>
    <row r="153" customFormat="false" ht="21.75" hidden="false" customHeight="true" outlineLevel="0" collapsed="false">
      <c r="B153" s="7" t="n">
        <v>149</v>
      </c>
      <c r="C153" s="7" t="s">
        <v>582</v>
      </c>
      <c r="D153" s="7" t="s">
        <v>583</v>
      </c>
      <c r="E153" s="7" t="s">
        <v>89</v>
      </c>
      <c r="F153" s="7" t="s">
        <v>90</v>
      </c>
      <c r="G153" s="7" t="s">
        <v>61</v>
      </c>
      <c r="H153" s="7" t="n">
        <v>6.15</v>
      </c>
      <c r="I153" s="7" t="n">
        <v>4</v>
      </c>
      <c r="J153" s="7" t="n">
        <v>6</v>
      </c>
      <c r="K153" s="7" t="n">
        <v>4</v>
      </c>
      <c r="L153" s="7" t="n">
        <v>10</v>
      </c>
      <c r="M153" s="7" t="n">
        <v>5</v>
      </c>
      <c r="N153" s="7" t="n">
        <v>7</v>
      </c>
      <c r="O153" s="7" t="n">
        <v>7</v>
      </c>
      <c r="P153" s="7" t="n">
        <v>9</v>
      </c>
      <c r="Q153" s="7" t="n">
        <v>7</v>
      </c>
      <c r="R153" s="7" t="n">
        <v>4</v>
      </c>
      <c r="S153" s="8" t="s">
        <v>56</v>
      </c>
      <c r="T153" s="8" t="s">
        <v>56</v>
      </c>
      <c r="U153" s="7" t="n">
        <v>12</v>
      </c>
      <c r="V153" s="7" t="n">
        <v>10</v>
      </c>
      <c r="W153" s="8" t="s">
        <v>52</v>
      </c>
      <c r="X153" s="8" t="s">
        <v>584</v>
      </c>
      <c r="Y153" s="8" t="s">
        <v>585</v>
      </c>
    </row>
    <row r="154" customFormat="false" ht="21.75" hidden="false" customHeight="true" outlineLevel="0" collapsed="false">
      <c r="B154" s="9" t="n">
        <v>150</v>
      </c>
      <c r="C154" s="9" t="s">
        <v>586</v>
      </c>
      <c r="D154" s="9" t="s">
        <v>587</v>
      </c>
      <c r="E154" s="9" t="s">
        <v>94</v>
      </c>
      <c r="F154" s="9" t="s">
        <v>95</v>
      </c>
      <c r="G154" s="9" t="s">
        <v>61</v>
      </c>
      <c r="H154" s="9" t="n">
        <v>6.12</v>
      </c>
      <c r="I154" s="9" t="n">
        <v>5</v>
      </c>
      <c r="J154" s="9" t="n">
        <v>5</v>
      </c>
      <c r="K154" s="9" t="n">
        <v>7</v>
      </c>
      <c r="L154" s="9" t="n">
        <v>10</v>
      </c>
      <c r="M154" s="9" t="n">
        <v>5</v>
      </c>
      <c r="N154" s="9" t="n">
        <v>5</v>
      </c>
      <c r="O154" s="9" t="n">
        <v>5</v>
      </c>
      <c r="P154" s="9" t="n">
        <v>7.5</v>
      </c>
      <c r="Q154" s="9" t="n">
        <v>7</v>
      </c>
      <c r="R154" s="9" t="n">
        <v>4</v>
      </c>
      <c r="S154" s="10" t="s">
        <v>123</v>
      </c>
      <c r="T154" s="10" t="s">
        <v>51</v>
      </c>
      <c r="U154" s="9" t="n">
        <v>10</v>
      </c>
      <c r="V154" s="9" t="n">
        <v>10</v>
      </c>
      <c r="W154" s="10" t="s">
        <v>52</v>
      </c>
      <c r="X154" s="10" t="s">
        <v>588</v>
      </c>
      <c r="Y154" s="10" t="s">
        <v>589</v>
      </c>
    </row>
    <row r="155" customFormat="false" ht="21.75" hidden="false" customHeight="true" outlineLevel="0" collapsed="false">
      <c r="B155" s="7" t="n">
        <v>151</v>
      </c>
      <c r="C155" s="7" t="s">
        <v>590</v>
      </c>
      <c r="D155" s="7" t="s">
        <v>591</v>
      </c>
      <c r="E155" s="7" t="s">
        <v>47</v>
      </c>
      <c r="F155" s="7" t="s">
        <v>48</v>
      </c>
      <c r="G155" s="7" t="s">
        <v>61</v>
      </c>
      <c r="H155" s="7" t="n">
        <v>6.1</v>
      </c>
      <c r="I155" s="7" t="n">
        <v>5</v>
      </c>
      <c r="J155" s="7" t="n">
        <v>5</v>
      </c>
      <c r="K155" s="7" t="n">
        <v>4</v>
      </c>
      <c r="L155" s="7" t="n">
        <v>10</v>
      </c>
      <c r="M155" s="7" t="n">
        <v>4</v>
      </c>
      <c r="N155" s="7" t="n">
        <v>9</v>
      </c>
      <c r="O155" s="7" t="n">
        <v>4</v>
      </c>
      <c r="P155" s="7" t="n">
        <v>10</v>
      </c>
      <c r="Q155" s="7" t="n">
        <v>6</v>
      </c>
      <c r="R155" s="7" t="n">
        <v>3</v>
      </c>
      <c r="S155" s="8" t="s">
        <v>123</v>
      </c>
      <c r="T155" s="8" t="s">
        <v>51</v>
      </c>
      <c r="U155" s="7" t="n">
        <v>4</v>
      </c>
      <c r="V155" s="7" t="n">
        <v>10</v>
      </c>
      <c r="W155" s="8" t="s">
        <v>52</v>
      </c>
      <c r="X155" s="8" t="s">
        <v>592</v>
      </c>
      <c r="Y155" s="8" t="s">
        <v>593</v>
      </c>
    </row>
    <row r="156" customFormat="false" ht="21.75" hidden="false" customHeight="true" outlineLevel="0" collapsed="false">
      <c r="B156" s="9" t="n">
        <v>152</v>
      </c>
      <c r="C156" s="9" t="s">
        <v>594</v>
      </c>
      <c r="D156" s="9" t="s">
        <v>595</v>
      </c>
      <c r="E156" s="9" t="s">
        <v>89</v>
      </c>
      <c r="F156" s="9" t="s">
        <v>90</v>
      </c>
      <c r="G156" s="9" t="s">
        <v>61</v>
      </c>
      <c r="H156" s="9" t="n">
        <v>6.1</v>
      </c>
      <c r="I156" s="9" t="n">
        <v>5</v>
      </c>
      <c r="J156" s="9" t="n">
        <v>5</v>
      </c>
      <c r="K156" s="9" t="n">
        <v>4</v>
      </c>
      <c r="L156" s="9" t="n">
        <v>10</v>
      </c>
      <c r="M156" s="9" t="n">
        <v>5</v>
      </c>
      <c r="N156" s="9" t="n">
        <v>8</v>
      </c>
      <c r="O156" s="9" t="n">
        <v>5</v>
      </c>
      <c r="P156" s="9" t="n">
        <v>8</v>
      </c>
      <c r="Q156" s="9" t="n">
        <v>6</v>
      </c>
      <c r="R156" s="9" t="n">
        <v>4</v>
      </c>
      <c r="S156" s="10" t="s">
        <v>56</v>
      </c>
      <c r="T156" s="10" t="s">
        <v>51</v>
      </c>
      <c r="U156" s="9" t="n">
        <v>20</v>
      </c>
      <c r="V156" s="9" t="n">
        <v>10</v>
      </c>
      <c r="W156" s="10" t="s">
        <v>52</v>
      </c>
      <c r="X156" s="10" t="s">
        <v>596</v>
      </c>
      <c r="Y156" s="10" t="s">
        <v>597</v>
      </c>
    </row>
    <row r="157" customFormat="false" ht="21.75" hidden="false" customHeight="true" outlineLevel="0" collapsed="false">
      <c r="B157" s="7" t="n">
        <v>153</v>
      </c>
      <c r="C157" s="7" t="s">
        <v>598</v>
      </c>
      <c r="D157" s="7" t="s">
        <v>599</v>
      </c>
      <c r="E157" s="7" t="s">
        <v>94</v>
      </c>
      <c r="F157" s="7" t="s">
        <v>95</v>
      </c>
      <c r="G157" s="7" t="s">
        <v>61</v>
      </c>
      <c r="H157" s="7" t="n">
        <v>6.1</v>
      </c>
      <c r="I157" s="7" t="n">
        <v>5</v>
      </c>
      <c r="J157" s="7" t="n">
        <v>6</v>
      </c>
      <c r="K157" s="7" t="n">
        <v>4</v>
      </c>
      <c r="L157" s="7" t="n">
        <v>9</v>
      </c>
      <c r="M157" s="7" t="n">
        <v>6</v>
      </c>
      <c r="N157" s="7" t="n">
        <v>7</v>
      </c>
      <c r="O157" s="7" t="n">
        <v>6</v>
      </c>
      <c r="P157" s="7" t="n">
        <v>6</v>
      </c>
      <c r="Q157" s="7" t="n">
        <v>7</v>
      </c>
      <c r="R157" s="7" t="n">
        <v>4</v>
      </c>
      <c r="S157" s="8" t="s">
        <v>56</v>
      </c>
      <c r="T157" s="8" t="s">
        <v>72</v>
      </c>
      <c r="U157" s="7" t="n">
        <v>30</v>
      </c>
      <c r="V157" s="7" t="n">
        <v>30</v>
      </c>
      <c r="W157" s="8" t="s">
        <v>52</v>
      </c>
      <c r="X157" s="8" t="s">
        <v>600</v>
      </c>
      <c r="Y157" s="8" t="s">
        <v>601</v>
      </c>
    </row>
    <row r="158" customFormat="false" ht="21.75" hidden="false" customHeight="true" outlineLevel="0" collapsed="false">
      <c r="B158" s="9" t="n">
        <v>154</v>
      </c>
      <c r="C158" s="9" t="s">
        <v>602</v>
      </c>
      <c r="D158" s="9" t="s">
        <v>603</v>
      </c>
      <c r="E158" s="9" t="s">
        <v>94</v>
      </c>
      <c r="F158" s="9" t="s">
        <v>95</v>
      </c>
      <c r="G158" s="9" t="s">
        <v>61</v>
      </c>
      <c r="H158" s="9" t="n">
        <v>6.1</v>
      </c>
      <c r="I158" s="9" t="n">
        <v>4</v>
      </c>
      <c r="J158" s="9" t="n">
        <v>7</v>
      </c>
      <c r="K158" s="9" t="n">
        <v>2</v>
      </c>
      <c r="L158" s="9" t="n">
        <v>8</v>
      </c>
      <c r="M158" s="9" t="n">
        <v>7</v>
      </c>
      <c r="N158" s="9" t="n">
        <v>8</v>
      </c>
      <c r="O158" s="9" t="n">
        <v>7</v>
      </c>
      <c r="P158" s="9" t="n">
        <v>8</v>
      </c>
      <c r="Q158" s="9" t="n">
        <v>7</v>
      </c>
      <c r="R158" s="9" t="n">
        <v>5</v>
      </c>
      <c r="S158" s="10" t="s">
        <v>55</v>
      </c>
      <c r="T158" s="10" t="s">
        <v>56</v>
      </c>
      <c r="U158" s="9" t="n">
        <v>40</v>
      </c>
      <c r="V158" s="9" t="n">
        <v>10</v>
      </c>
      <c r="W158" s="10" t="s">
        <v>52</v>
      </c>
      <c r="X158" s="10" t="s">
        <v>604</v>
      </c>
      <c r="Y158" s="10" t="s">
        <v>605</v>
      </c>
    </row>
    <row r="159" customFormat="false" ht="21.75" hidden="false" customHeight="true" outlineLevel="0" collapsed="false">
      <c r="B159" s="7" t="n">
        <v>155</v>
      </c>
      <c r="C159" s="7" t="s">
        <v>606</v>
      </c>
      <c r="D159" s="7" t="s">
        <v>607</v>
      </c>
      <c r="E159" s="7" t="s">
        <v>94</v>
      </c>
      <c r="F159" s="7" t="s">
        <v>95</v>
      </c>
      <c r="G159" s="7" t="s">
        <v>61</v>
      </c>
      <c r="H159" s="7" t="n">
        <v>6.1</v>
      </c>
      <c r="I159" s="7" t="n">
        <v>4</v>
      </c>
      <c r="J159" s="7" t="n">
        <v>5</v>
      </c>
      <c r="K159" s="7" t="n">
        <v>4</v>
      </c>
      <c r="L159" s="7" t="n">
        <v>10</v>
      </c>
      <c r="M159" s="7" t="n">
        <v>4</v>
      </c>
      <c r="N159" s="7" t="n">
        <v>8</v>
      </c>
      <c r="O159" s="7" t="n">
        <v>7</v>
      </c>
      <c r="P159" s="7" t="n">
        <v>10</v>
      </c>
      <c r="Q159" s="7" t="n">
        <v>7</v>
      </c>
      <c r="R159" s="7" t="n">
        <v>5</v>
      </c>
      <c r="S159" s="8" t="s">
        <v>123</v>
      </c>
      <c r="T159" s="8" t="s">
        <v>51</v>
      </c>
      <c r="U159" s="7" t="n">
        <v>12</v>
      </c>
      <c r="V159" s="7" t="n">
        <v>10</v>
      </c>
      <c r="W159" s="8" t="s">
        <v>52</v>
      </c>
      <c r="X159" s="8" t="s">
        <v>608</v>
      </c>
      <c r="Y159" s="8" t="s">
        <v>609</v>
      </c>
    </row>
    <row r="160" customFormat="false" ht="21.75" hidden="false" customHeight="true" outlineLevel="0" collapsed="false">
      <c r="B160" s="9" t="n">
        <v>156</v>
      </c>
      <c r="C160" s="9" t="s">
        <v>610</v>
      </c>
      <c r="D160" s="9" t="s">
        <v>611</v>
      </c>
      <c r="E160" s="9" t="s">
        <v>94</v>
      </c>
      <c r="F160" s="9" t="s">
        <v>95</v>
      </c>
      <c r="G160" s="9" t="s">
        <v>61</v>
      </c>
      <c r="H160" s="9" t="n">
        <v>6.1</v>
      </c>
      <c r="I160" s="9" t="n">
        <v>5</v>
      </c>
      <c r="J160" s="9" t="n">
        <v>5</v>
      </c>
      <c r="K160" s="9" t="n">
        <v>4</v>
      </c>
      <c r="L160" s="9" t="n">
        <v>10</v>
      </c>
      <c r="M160" s="9" t="n">
        <v>4</v>
      </c>
      <c r="N160" s="9" t="n">
        <v>8</v>
      </c>
      <c r="O160" s="9" t="n">
        <v>6</v>
      </c>
      <c r="P160" s="9" t="n">
        <v>9</v>
      </c>
      <c r="Q160" s="9" t="n">
        <v>6</v>
      </c>
      <c r="R160" s="9" t="n">
        <v>4</v>
      </c>
      <c r="S160" s="10" t="s">
        <v>123</v>
      </c>
      <c r="T160" s="10" t="s">
        <v>51</v>
      </c>
      <c r="U160" s="9" t="n">
        <v>16</v>
      </c>
      <c r="V160" s="9" t="n">
        <v>10</v>
      </c>
      <c r="W160" s="10" t="s">
        <v>52</v>
      </c>
      <c r="X160" s="10" t="s">
        <v>612</v>
      </c>
      <c r="Y160" s="10" t="s">
        <v>613</v>
      </c>
    </row>
    <row r="161" customFormat="false" ht="21.75" hidden="false" customHeight="true" outlineLevel="0" collapsed="false">
      <c r="B161" s="7" t="n">
        <v>157</v>
      </c>
      <c r="C161" s="7" t="s">
        <v>614</v>
      </c>
      <c r="D161" s="7" t="s">
        <v>615</v>
      </c>
      <c r="E161" s="7" t="s">
        <v>350</v>
      </c>
      <c r="F161" s="7" t="s">
        <v>350</v>
      </c>
      <c r="G161" s="7" t="s">
        <v>61</v>
      </c>
      <c r="H161" s="7" t="n">
        <v>6.1</v>
      </c>
      <c r="I161" s="7" t="n">
        <v>6</v>
      </c>
      <c r="J161" s="7" t="n">
        <v>4</v>
      </c>
      <c r="K161" s="7" t="n">
        <v>5</v>
      </c>
      <c r="L161" s="7" t="n">
        <v>10</v>
      </c>
      <c r="M161" s="7" t="n">
        <v>3</v>
      </c>
      <c r="N161" s="7" t="n">
        <v>9</v>
      </c>
      <c r="O161" s="7" t="n">
        <v>4</v>
      </c>
      <c r="P161" s="7" t="n">
        <v>10</v>
      </c>
      <c r="Q161" s="7" t="n">
        <v>6</v>
      </c>
      <c r="R161" s="7" t="n">
        <v>2</v>
      </c>
      <c r="S161" s="8" t="s">
        <v>50</v>
      </c>
      <c r="T161" s="8" t="s">
        <v>51</v>
      </c>
      <c r="U161" s="7" t="n">
        <v>8</v>
      </c>
      <c r="V161" s="7" t="n">
        <v>10</v>
      </c>
      <c r="W161" s="8" t="s">
        <v>52</v>
      </c>
      <c r="X161" s="8" t="s">
        <v>616</v>
      </c>
      <c r="Y161" s="8" t="s">
        <v>617</v>
      </c>
    </row>
    <row r="162" customFormat="false" ht="21.75" hidden="false" customHeight="true" outlineLevel="0" collapsed="false">
      <c r="B162" s="9" t="n">
        <v>158</v>
      </c>
      <c r="C162" s="9" t="s">
        <v>618</v>
      </c>
      <c r="D162" s="9" t="s">
        <v>619</v>
      </c>
      <c r="E162" s="9" t="s">
        <v>350</v>
      </c>
      <c r="F162" s="9" t="s">
        <v>350</v>
      </c>
      <c r="G162" s="9" t="s">
        <v>61</v>
      </c>
      <c r="H162" s="9" t="n">
        <v>6.1</v>
      </c>
      <c r="I162" s="9" t="n">
        <v>8</v>
      </c>
      <c r="J162" s="9" t="n">
        <v>2</v>
      </c>
      <c r="K162" s="9" t="n">
        <v>5</v>
      </c>
      <c r="L162" s="9" t="n">
        <v>10</v>
      </c>
      <c r="M162" s="9" t="n">
        <v>3</v>
      </c>
      <c r="N162" s="9" t="n">
        <v>9</v>
      </c>
      <c r="O162" s="9" t="n">
        <v>3</v>
      </c>
      <c r="P162" s="9" t="n">
        <v>10</v>
      </c>
      <c r="Q162" s="9" t="n">
        <v>5</v>
      </c>
      <c r="R162" s="9" t="n">
        <v>2</v>
      </c>
      <c r="S162" s="10" t="s">
        <v>50</v>
      </c>
      <c r="T162" s="10" t="s">
        <v>51</v>
      </c>
      <c r="U162" s="9" t="n">
        <v>4</v>
      </c>
      <c r="V162" s="9" t="n">
        <v>10</v>
      </c>
      <c r="W162" s="10" t="s">
        <v>52</v>
      </c>
      <c r="X162" s="10" t="s">
        <v>620</v>
      </c>
      <c r="Y162" s="10" t="s">
        <v>621</v>
      </c>
    </row>
    <row r="163" customFormat="false" ht="21.75" hidden="false" customHeight="true" outlineLevel="0" collapsed="false">
      <c r="B163" s="7" t="n">
        <v>159</v>
      </c>
      <c r="C163" s="7" t="s">
        <v>622</v>
      </c>
      <c r="D163" s="7" t="s">
        <v>623</v>
      </c>
      <c r="E163" s="7" t="s">
        <v>350</v>
      </c>
      <c r="F163" s="7" t="s">
        <v>350</v>
      </c>
      <c r="G163" s="7" t="s">
        <v>61</v>
      </c>
      <c r="H163" s="7" t="n">
        <v>6.1</v>
      </c>
      <c r="I163" s="7" t="n">
        <v>6</v>
      </c>
      <c r="J163" s="7" t="n">
        <v>5</v>
      </c>
      <c r="K163" s="7" t="n">
        <v>3</v>
      </c>
      <c r="L163" s="7" t="n">
        <v>10</v>
      </c>
      <c r="M163" s="7" t="n">
        <v>4</v>
      </c>
      <c r="N163" s="7" t="n">
        <v>8</v>
      </c>
      <c r="O163" s="7" t="n">
        <v>4</v>
      </c>
      <c r="P163" s="7" t="n">
        <v>9</v>
      </c>
      <c r="Q163" s="7" t="n">
        <v>6</v>
      </c>
      <c r="R163" s="7" t="n">
        <v>4</v>
      </c>
      <c r="S163" s="8" t="s">
        <v>56</v>
      </c>
      <c r="T163" s="8" t="s">
        <v>51</v>
      </c>
      <c r="U163" s="7" t="n">
        <v>8</v>
      </c>
      <c r="V163" s="7" t="n">
        <v>10</v>
      </c>
      <c r="W163" s="8" t="s">
        <v>52</v>
      </c>
      <c r="X163" s="8" t="s">
        <v>624</v>
      </c>
      <c r="Y163" s="8" t="s">
        <v>625</v>
      </c>
    </row>
    <row r="164" customFormat="false" ht="21.75" hidden="false" customHeight="true" outlineLevel="0" collapsed="false">
      <c r="B164" s="9" t="n">
        <v>160</v>
      </c>
      <c r="C164" s="9" t="s">
        <v>626</v>
      </c>
      <c r="D164" s="9" t="s">
        <v>627</v>
      </c>
      <c r="E164" s="9" t="s">
        <v>89</v>
      </c>
      <c r="F164" s="9" t="s">
        <v>90</v>
      </c>
      <c r="G164" s="9" t="s">
        <v>49</v>
      </c>
      <c r="H164" s="9" t="n">
        <v>6.05</v>
      </c>
      <c r="I164" s="9" t="n">
        <v>5</v>
      </c>
      <c r="J164" s="9" t="n">
        <v>7.5</v>
      </c>
      <c r="K164" s="9" t="n">
        <v>5</v>
      </c>
      <c r="L164" s="9" t="n">
        <v>8</v>
      </c>
      <c r="M164" s="9" t="n">
        <v>5.5</v>
      </c>
      <c r="N164" s="9" t="n">
        <v>7</v>
      </c>
      <c r="O164" s="9" t="n">
        <v>5</v>
      </c>
      <c r="P164" s="9" t="n">
        <v>6</v>
      </c>
      <c r="Q164" s="9" t="n">
        <v>4.5</v>
      </c>
      <c r="R164" s="9" t="n">
        <v>4</v>
      </c>
      <c r="S164" s="10" t="s">
        <v>123</v>
      </c>
      <c r="T164" s="10" t="s">
        <v>51</v>
      </c>
      <c r="U164" s="9" t="n">
        <v>12</v>
      </c>
      <c r="V164" s="9" t="n">
        <v>10</v>
      </c>
      <c r="W164" s="10" t="s">
        <v>52</v>
      </c>
      <c r="X164" s="10"/>
      <c r="Y164" s="10" t="s">
        <v>628</v>
      </c>
    </row>
    <row r="165" customFormat="false" ht="21.75" hidden="false" customHeight="true" outlineLevel="0" collapsed="false">
      <c r="B165" s="7" t="n">
        <v>161</v>
      </c>
      <c r="C165" s="7" t="s">
        <v>629</v>
      </c>
      <c r="D165" s="7" t="s">
        <v>630</v>
      </c>
      <c r="E165" s="7" t="s">
        <v>94</v>
      </c>
      <c r="F165" s="7" t="s">
        <v>95</v>
      </c>
      <c r="G165" s="7" t="s">
        <v>103</v>
      </c>
      <c r="H165" s="7" t="n">
        <v>6.05</v>
      </c>
      <c r="I165" s="7" t="n">
        <v>6.5</v>
      </c>
      <c r="J165" s="7" t="n">
        <v>4</v>
      </c>
      <c r="K165" s="7" t="n">
        <v>7</v>
      </c>
      <c r="L165" s="7" t="n">
        <v>10</v>
      </c>
      <c r="M165" s="7" t="n">
        <v>3</v>
      </c>
      <c r="N165" s="7" t="n">
        <v>5.5</v>
      </c>
      <c r="O165" s="7" t="n">
        <v>2.5</v>
      </c>
      <c r="P165" s="7" t="n">
        <v>7.5</v>
      </c>
      <c r="Q165" s="7" t="n">
        <v>8</v>
      </c>
      <c r="R165" s="7" t="n">
        <v>4</v>
      </c>
      <c r="S165" s="8" t="s">
        <v>123</v>
      </c>
      <c r="T165" s="8" t="s">
        <v>51</v>
      </c>
      <c r="U165" s="7" t="n">
        <v>10</v>
      </c>
      <c r="V165" s="7" t="n">
        <v>10</v>
      </c>
      <c r="W165" s="8" t="s">
        <v>52</v>
      </c>
      <c r="X165" s="8" t="s">
        <v>631</v>
      </c>
      <c r="Y165" s="8" t="s">
        <v>632</v>
      </c>
    </row>
    <row r="166" customFormat="false" ht="21.75" hidden="false" customHeight="true" outlineLevel="0" collapsed="false">
      <c r="B166" s="9" t="n">
        <v>162</v>
      </c>
      <c r="C166" s="9" t="s">
        <v>633</v>
      </c>
      <c r="D166" s="9" t="s">
        <v>634</v>
      </c>
      <c r="E166" s="9" t="s">
        <v>76</v>
      </c>
      <c r="F166" s="9" t="s">
        <v>77</v>
      </c>
      <c r="G166" s="9" t="s">
        <v>103</v>
      </c>
      <c r="H166" s="9" t="n">
        <v>6.05</v>
      </c>
      <c r="I166" s="9" t="n">
        <v>6</v>
      </c>
      <c r="J166" s="9" t="n">
        <v>5</v>
      </c>
      <c r="K166" s="9" t="n">
        <v>5</v>
      </c>
      <c r="L166" s="9" t="n">
        <v>6.5</v>
      </c>
      <c r="M166" s="9" t="n">
        <v>2.5</v>
      </c>
      <c r="N166" s="9" t="n">
        <v>8</v>
      </c>
      <c r="O166" s="9" t="n">
        <v>9</v>
      </c>
      <c r="P166" s="9" t="n">
        <v>9.5</v>
      </c>
      <c r="Q166" s="9" t="n">
        <v>6</v>
      </c>
      <c r="R166" s="9" t="n">
        <v>7</v>
      </c>
      <c r="S166" s="10" t="s">
        <v>123</v>
      </c>
      <c r="T166" s="10" t="s">
        <v>51</v>
      </c>
      <c r="U166" s="9" t="n">
        <v>12</v>
      </c>
      <c r="V166" s="9" t="n">
        <v>10</v>
      </c>
      <c r="W166" s="10" t="s">
        <v>52</v>
      </c>
      <c r="X166" s="10"/>
      <c r="Y166" s="10" t="s">
        <v>635</v>
      </c>
    </row>
    <row r="167" customFormat="false" ht="21.75" hidden="false" customHeight="true" outlineLevel="0" collapsed="false">
      <c r="B167" s="7" t="n">
        <v>163</v>
      </c>
      <c r="C167" s="7" t="s">
        <v>636</v>
      </c>
      <c r="D167" s="7" t="s">
        <v>637</v>
      </c>
      <c r="E167" s="7" t="s">
        <v>76</v>
      </c>
      <c r="F167" s="7" t="s">
        <v>77</v>
      </c>
      <c r="G167" s="7" t="s">
        <v>103</v>
      </c>
      <c r="H167" s="7" t="n">
        <v>6.05</v>
      </c>
      <c r="I167" s="7" t="n">
        <v>7.5</v>
      </c>
      <c r="J167" s="7" t="n">
        <v>4</v>
      </c>
      <c r="K167" s="7" t="n">
        <v>5</v>
      </c>
      <c r="L167" s="7" t="n">
        <v>6.5</v>
      </c>
      <c r="M167" s="7" t="n">
        <v>6</v>
      </c>
      <c r="N167" s="7" t="n">
        <v>7</v>
      </c>
      <c r="O167" s="7" t="n">
        <v>5</v>
      </c>
      <c r="P167" s="7" t="n">
        <v>7.5</v>
      </c>
      <c r="Q167" s="7" t="n">
        <v>7</v>
      </c>
      <c r="R167" s="7" t="n">
        <v>4</v>
      </c>
      <c r="S167" s="8" t="s">
        <v>123</v>
      </c>
      <c r="T167" s="8" t="s">
        <v>51</v>
      </c>
      <c r="U167" s="7" t="n">
        <v>36</v>
      </c>
      <c r="V167" s="7" t="n">
        <v>30</v>
      </c>
      <c r="W167" s="8" t="s">
        <v>52</v>
      </c>
      <c r="X167" s="8"/>
      <c r="Y167" s="8" t="s">
        <v>638</v>
      </c>
    </row>
    <row r="168" customFormat="false" ht="21.75" hidden="false" customHeight="true" outlineLevel="0" collapsed="false">
      <c r="B168" s="9" t="n">
        <v>164</v>
      </c>
      <c r="C168" s="9" t="s">
        <v>639</v>
      </c>
      <c r="D168" s="9" t="s">
        <v>640</v>
      </c>
      <c r="E168" s="9" t="s">
        <v>47</v>
      </c>
      <c r="F168" s="9" t="s">
        <v>48</v>
      </c>
      <c r="G168" s="9" t="s">
        <v>61</v>
      </c>
      <c r="H168" s="9" t="n">
        <v>6.05</v>
      </c>
      <c r="I168" s="9" t="n">
        <v>4</v>
      </c>
      <c r="J168" s="9" t="n">
        <v>6</v>
      </c>
      <c r="K168" s="9" t="n">
        <v>3</v>
      </c>
      <c r="L168" s="9" t="n">
        <v>9</v>
      </c>
      <c r="M168" s="9" t="n">
        <v>6</v>
      </c>
      <c r="N168" s="9" t="n">
        <v>7</v>
      </c>
      <c r="O168" s="9" t="n">
        <v>8</v>
      </c>
      <c r="P168" s="9" t="n">
        <v>8</v>
      </c>
      <c r="Q168" s="9" t="n">
        <v>7</v>
      </c>
      <c r="R168" s="9" t="n">
        <v>5</v>
      </c>
      <c r="S168" s="10" t="s">
        <v>55</v>
      </c>
      <c r="T168" s="10" t="s">
        <v>56</v>
      </c>
      <c r="U168" s="9" t="n">
        <v>20</v>
      </c>
      <c r="V168" s="9" t="n">
        <v>10</v>
      </c>
      <c r="W168" s="10" t="s">
        <v>52</v>
      </c>
      <c r="X168" s="10" t="s">
        <v>641</v>
      </c>
      <c r="Y168" s="10" t="s">
        <v>642</v>
      </c>
    </row>
    <row r="169" customFormat="false" ht="21.75" hidden="false" customHeight="true" outlineLevel="0" collapsed="false">
      <c r="B169" s="7" t="n">
        <v>165</v>
      </c>
      <c r="C169" s="7" t="s">
        <v>643</v>
      </c>
      <c r="D169" s="7" t="s">
        <v>644</v>
      </c>
      <c r="E169" s="7" t="s">
        <v>89</v>
      </c>
      <c r="F169" s="7" t="s">
        <v>90</v>
      </c>
      <c r="G169" s="7" t="s">
        <v>61</v>
      </c>
      <c r="H169" s="7" t="n">
        <v>6.05</v>
      </c>
      <c r="I169" s="7" t="n">
        <v>3</v>
      </c>
      <c r="J169" s="7" t="n">
        <v>6</v>
      </c>
      <c r="K169" s="7" t="n">
        <v>3</v>
      </c>
      <c r="L169" s="7" t="n">
        <v>9</v>
      </c>
      <c r="M169" s="7" t="n">
        <v>6</v>
      </c>
      <c r="N169" s="7" t="n">
        <v>7</v>
      </c>
      <c r="O169" s="7" t="n">
        <v>9</v>
      </c>
      <c r="P169" s="7" t="n">
        <v>8</v>
      </c>
      <c r="Q169" s="7" t="n">
        <v>8</v>
      </c>
      <c r="R169" s="7" t="n">
        <v>7</v>
      </c>
      <c r="S169" s="8" t="s">
        <v>55</v>
      </c>
      <c r="T169" s="8" t="s">
        <v>56</v>
      </c>
      <c r="U169" s="7" t="n">
        <v>30</v>
      </c>
      <c r="V169" s="7" t="n">
        <v>10</v>
      </c>
      <c r="W169" s="8" t="s">
        <v>52</v>
      </c>
      <c r="X169" s="8" t="s">
        <v>645</v>
      </c>
      <c r="Y169" s="8" t="s">
        <v>646</v>
      </c>
    </row>
    <row r="170" customFormat="false" ht="21.75" hidden="false" customHeight="true" outlineLevel="0" collapsed="false">
      <c r="B170" s="9" t="n">
        <v>166</v>
      </c>
      <c r="C170" s="9" t="s">
        <v>647</v>
      </c>
      <c r="D170" s="9" t="s">
        <v>648</v>
      </c>
      <c r="E170" s="9" t="s">
        <v>305</v>
      </c>
      <c r="F170" s="9" t="s">
        <v>305</v>
      </c>
      <c r="G170" s="9" t="s">
        <v>61</v>
      </c>
      <c r="H170" s="9" t="n">
        <v>6.05</v>
      </c>
      <c r="I170" s="9" t="n">
        <v>7</v>
      </c>
      <c r="J170" s="9" t="n">
        <v>3</v>
      </c>
      <c r="K170" s="9" t="n">
        <v>5</v>
      </c>
      <c r="L170" s="9" t="n">
        <v>10</v>
      </c>
      <c r="M170" s="9" t="n">
        <v>4</v>
      </c>
      <c r="N170" s="9" t="n">
        <v>9</v>
      </c>
      <c r="O170" s="9" t="n">
        <v>3</v>
      </c>
      <c r="P170" s="9" t="n">
        <v>8</v>
      </c>
      <c r="Q170" s="9" t="n">
        <v>5</v>
      </c>
      <c r="R170" s="9" t="n">
        <v>2</v>
      </c>
      <c r="S170" s="10" t="s">
        <v>50</v>
      </c>
      <c r="T170" s="10" t="s">
        <v>51</v>
      </c>
      <c r="U170" s="9" t="n">
        <v>15</v>
      </c>
      <c r="V170" s="9" t="n">
        <v>10</v>
      </c>
      <c r="W170" s="10" t="s">
        <v>52</v>
      </c>
      <c r="X170" s="10" t="s">
        <v>649</v>
      </c>
      <c r="Y170" s="10" t="s">
        <v>650</v>
      </c>
    </row>
    <row r="171" customFormat="false" ht="21.75" hidden="false" customHeight="true" outlineLevel="0" collapsed="false">
      <c r="B171" s="7" t="n">
        <v>167</v>
      </c>
      <c r="C171" s="7" t="s">
        <v>651</v>
      </c>
      <c r="D171" s="7" t="s">
        <v>652</v>
      </c>
      <c r="E171" s="7" t="s">
        <v>94</v>
      </c>
      <c r="F171" s="7" t="s">
        <v>95</v>
      </c>
      <c r="G171" s="7" t="s">
        <v>61</v>
      </c>
      <c r="H171" s="7" t="n">
        <v>6.03</v>
      </c>
      <c r="I171" s="7" t="n">
        <v>5</v>
      </c>
      <c r="J171" s="7" t="n">
        <v>4</v>
      </c>
      <c r="K171" s="7" t="n">
        <v>7</v>
      </c>
      <c r="L171" s="7" t="n">
        <v>10</v>
      </c>
      <c r="M171" s="7" t="n">
        <v>5</v>
      </c>
      <c r="N171" s="7" t="n">
        <v>5</v>
      </c>
      <c r="O171" s="7" t="n">
        <v>5</v>
      </c>
      <c r="P171" s="7" t="n">
        <v>7.5</v>
      </c>
      <c r="Q171" s="7" t="n">
        <v>8</v>
      </c>
      <c r="R171" s="7" t="n">
        <v>4</v>
      </c>
      <c r="S171" s="8" t="s">
        <v>123</v>
      </c>
      <c r="T171" s="8" t="s">
        <v>51</v>
      </c>
      <c r="U171" s="7" t="n">
        <v>10</v>
      </c>
      <c r="V171" s="7" t="n">
        <v>10</v>
      </c>
      <c r="W171" s="8" t="s">
        <v>52</v>
      </c>
      <c r="X171" s="8" t="s">
        <v>653</v>
      </c>
      <c r="Y171" s="8" t="s">
        <v>654</v>
      </c>
    </row>
    <row r="172" customFormat="false" ht="21.75" hidden="false" customHeight="true" outlineLevel="0" collapsed="false">
      <c r="B172" s="9" t="n">
        <v>168</v>
      </c>
      <c r="C172" s="9" t="s">
        <v>655</v>
      </c>
      <c r="D172" s="9" t="s">
        <v>656</v>
      </c>
      <c r="E172" s="9" t="s">
        <v>76</v>
      </c>
      <c r="F172" s="9" t="s">
        <v>77</v>
      </c>
      <c r="G172" s="9" t="s">
        <v>49</v>
      </c>
      <c r="H172" s="9" t="n">
        <v>6.03</v>
      </c>
      <c r="I172" s="9" t="n">
        <v>6.5</v>
      </c>
      <c r="J172" s="9" t="n">
        <v>5</v>
      </c>
      <c r="K172" s="9" t="n">
        <v>5</v>
      </c>
      <c r="L172" s="9" t="n">
        <v>6.5</v>
      </c>
      <c r="M172" s="9" t="n">
        <v>5</v>
      </c>
      <c r="N172" s="9" t="n">
        <v>9</v>
      </c>
      <c r="O172" s="9" t="n">
        <v>3.5</v>
      </c>
      <c r="P172" s="9" t="n">
        <v>7.5</v>
      </c>
      <c r="Q172" s="9" t="n">
        <v>7</v>
      </c>
      <c r="R172" s="9" t="n">
        <v>4</v>
      </c>
      <c r="S172" s="10" t="s">
        <v>123</v>
      </c>
      <c r="T172" s="10" t="s">
        <v>51</v>
      </c>
      <c r="U172" s="9" t="n">
        <v>36</v>
      </c>
      <c r="V172" s="9" t="n">
        <v>30</v>
      </c>
      <c r="W172" s="10" t="s">
        <v>52</v>
      </c>
      <c r="X172" s="10"/>
      <c r="Y172" s="10" t="s">
        <v>657</v>
      </c>
    </row>
    <row r="173" customFormat="false" ht="21.75" hidden="false" customHeight="true" outlineLevel="0" collapsed="false">
      <c r="B173" s="7" t="n">
        <v>169</v>
      </c>
      <c r="C173" s="7" t="s">
        <v>658</v>
      </c>
      <c r="D173" s="7" t="s">
        <v>659</v>
      </c>
      <c r="E173" s="7" t="s">
        <v>47</v>
      </c>
      <c r="F173" s="7" t="s">
        <v>48</v>
      </c>
      <c r="G173" s="7" t="s">
        <v>61</v>
      </c>
      <c r="H173" s="7" t="n">
        <v>6</v>
      </c>
      <c r="I173" s="7" t="n">
        <v>4</v>
      </c>
      <c r="J173" s="7" t="n">
        <v>6</v>
      </c>
      <c r="K173" s="7" t="n">
        <v>3</v>
      </c>
      <c r="L173" s="7" t="n">
        <v>10</v>
      </c>
      <c r="M173" s="7" t="n">
        <v>4</v>
      </c>
      <c r="N173" s="7" t="n">
        <v>7</v>
      </c>
      <c r="O173" s="7" t="n">
        <v>7</v>
      </c>
      <c r="P173" s="7" t="n">
        <v>10</v>
      </c>
      <c r="Q173" s="7" t="n">
        <v>6</v>
      </c>
      <c r="R173" s="7" t="n">
        <v>5</v>
      </c>
      <c r="S173" s="8" t="s">
        <v>123</v>
      </c>
      <c r="T173" s="8" t="s">
        <v>51</v>
      </c>
      <c r="U173" s="7" t="n">
        <v>8</v>
      </c>
      <c r="V173" s="7" t="n">
        <v>10</v>
      </c>
      <c r="W173" s="8" t="s">
        <v>52</v>
      </c>
      <c r="X173" s="8" t="s">
        <v>660</v>
      </c>
      <c r="Y173" s="8" t="s">
        <v>661</v>
      </c>
    </row>
    <row r="174" customFormat="false" ht="21.75" hidden="false" customHeight="true" outlineLevel="0" collapsed="false">
      <c r="B174" s="9" t="n">
        <v>170</v>
      </c>
      <c r="C174" s="9" t="s">
        <v>662</v>
      </c>
      <c r="D174" s="9" t="s">
        <v>663</v>
      </c>
      <c r="E174" s="9" t="s">
        <v>94</v>
      </c>
      <c r="F174" s="9" t="s">
        <v>95</v>
      </c>
      <c r="G174" s="9" t="s">
        <v>61</v>
      </c>
      <c r="H174" s="9" t="n">
        <v>6</v>
      </c>
      <c r="I174" s="9" t="n">
        <v>5</v>
      </c>
      <c r="J174" s="9" t="n">
        <v>4</v>
      </c>
      <c r="K174" s="9" t="n">
        <v>5</v>
      </c>
      <c r="L174" s="9" t="n">
        <v>10</v>
      </c>
      <c r="M174" s="9" t="n">
        <v>4</v>
      </c>
      <c r="N174" s="9" t="n">
        <v>8</v>
      </c>
      <c r="O174" s="9" t="n">
        <v>5</v>
      </c>
      <c r="P174" s="9" t="n">
        <v>10</v>
      </c>
      <c r="Q174" s="9" t="n">
        <v>6</v>
      </c>
      <c r="R174" s="9" t="n">
        <v>3</v>
      </c>
      <c r="S174" s="10" t="s">
        <v>123</v>
      </c>
      <c r="T174" s="10" t="s">
        <v>51</v>
      </c>
      <c r="U174" s="9" t="n">
        <v>8</v>
      </c>
      <c r="V174" s="9" t="n">
        <v>10</v>
      </c>
      <c r="W174" s="10" t="s">
        <v>52</v>
      </c>
      <c r="X174" s="10" t="s">
        <v>664</v>
      </c>
      <c r="Y174" s="10" t="s">
        <v>665</v>
      </c>
    </row>
    <row r="175" customFormat="false" ht="21.75" hidden="false" customHeight="true" outlineLevel="0" collapsed="false">
      <c r="B175" s="7" t="n">
        <v>171</v>
      </c>
      <c r="C175" s="7" t="s">
        <v>666</v>
      </c>
      <c r="D175" s="7" t="s">
        <v>667</v>
      </c>
      <c r="E175" s="7" t="s">
        <v>76</v>
      </c>
      <c r="F175" s="7" t="s">
        <v>77</v>
      </c>
      <c r="G175" s="7" t="s">
        <v>61</v>
      </c>
      <c r="H175" s="7" t="n">
        <v>6</v>
      </c>
      <c r="I175" s="7" t="n">
        <v>5</v>
      </c>
      <c r="J175" s="7" t="n">
        <v>6</v>
      </c>
      <c r="K175" s="7" t="n">
        <v>5</v>
      </c>
      <c r="L175" s="7" t="n">
        <v>7</v>
      </c>
      <c r="M175" s="7" t="n">
        <v>6</v>
      </c>
      <c r="N175" s="7" t="n">
        <v>7</v>
      </c>
      <c r="O175" s="7" t="n">
        <v>7</v>
      </c>
      <c r="P175" s="7" t="n">
        <v>7</v>
      </c>
      <c r="Q175" s="7" t="n">
        <v>7</v>
      </c>
      <c r="R175" s="7" t="n">
        <v>4</v>
      </c>
      <c r="S175" s="8" t="s">
        <v>56</v>
      </c>
      <c r="T175" s="8" t="s">
        <v>56</v>
      </c>
      <c r="U175" s="7" t="n">
        <v>30</v>
      </c>
      <c r="V175" s="7" t="n">
        <v>25</v>
      </c>
      <c r="W175" s="8" t="s">
        <v>57</v>
      </c>
      <c r="X175" s="8" t="s">
        <v>668</v>
      </c>
      <c r="Y175" s="8" t="s">
        <v>669</v>
      </c>
    </row>
    <row r="176" customFormat="false" ht="21.75" hidden="false" customHeight="true" outlineLevel="0" collapsed="false">
      <c r="B176" s="9" t="n">
        <v>172</v>
      </c>
      <c r="C176" s="9" t="s">
        <v>670</v>
      </c>
      <c r="D176" s="9" t="s">
        <v>671</v>
      </c>
      <c r="E176" s="9" t="s">
        <v>94</v>
      </c>
      <c r="F176" s="9" t="s">
        <v>95</v>
      </c>
      <c r="G176" s="9" t="s">
        <v>49</v>
      </c>
      <c r="H176" s="9" t="n">
        <v>5.98</v>
      </c>
      <c r="I176" s="9" t="n">
        <v>7</v>
      </c>
      <c r="J176" s="9" t="n">
        <v>6</v>
      </c>
      <c r="K176" s="9" t="n">
        <v>9</v>
      </c>
      <c r="L176" s="9" t="n">
        <v>8</v>
      </c>
      <c r="M176" s="9" t="n">
        <v>3</v>
      </c>
      <c r="N176" s="9" t="n">
        <v>4</v>
      </c>
      <c r="O176" s="9" t="n">
        <v>2</v>
      </c>
      <c r="P176" s="9" t="n">
        <v>6</v>
      </c>
      <c r="Q176" s="9" t="n">
        <v>7</v>
      </c>
      <c r="R176" s="9" t="n">
        <v>2.5</v>
      </c>
      <c r="S176" s="10" t="s">
        <v>123</v>
      </c>
      <c r="T176" s="10" t="s">
        <v>51</v>
      </c>
      <c r="U176" s="9" t="n">
        <v>12</v>
      </c>
      <c r="V176" s="9" t="n">
        <v>10</v>
      </c>
      <c r="W176" s="10" t="s">
        <v>52</v>
      </c>
      <c r="X176" s="10" t="s">
        <v>672</v>
      </c>
      <c r="Y176" s="10" t="s">
        <v>673</v>
      </c>
    </row>
    <row r="177" customFormat="false" ht="21.75" hidden="false" customHeight="true" outlineLevel="0" collapsed="false">
      <c r="B177" s="7" t="n">
        <v>173</v>
      </c>
      <c r="C177" s="7" t="s">
        <v>674</v>
      </c>
      <c r="D177" s="7" t="s">
        <v>675</v>
      </c>
      <c r="E177" s="7" t="s">
        <v>76</v>
      </c>
      <c r="F177" s="7" t="s">
        <v>77</v>
      </c>
      <c r="G177" s="7" t="s">
        <v>49</v>
      </c>
      <c r="H177" s="7" t="n">
        <v>5.95</v>
      </c>
      <c r="I177" s="7" t="n">
        <v>8.5</v>
      </c>
      <c r="J177" s="7" t="n">
        <v>4</v>
      </c>
      <c r="K177" s="7" t="n">
        <v>4</v>
      </c>
      <c r="L177" s="7" t="n">
        <v>6.5</v>
      </c>
      <c r="M177" s="7" t="n">
        <v>5</v>
      </c>
      <c r="N177" s="7" t="n">
        <v>8</v>
      </c>
      <c r="O177" s="7" t="n">
        <v>5</v>
      </c>
      <c r="P177" s="7" t="n">
        <v>6</v>
      </c>
      <c r="Q177" s="7" t="n">
        <v>4.5</v>
      </c>
      <c r="R177" s="7" t="n">
        <v>4</v>
      </c>
      <c r="S177" s="8" t="s">
        <v>50</v>
      </c>
      <c r="T177" s="8" t="s">
        <v>51</v>
      </c>
      <c r="U177" s="7" t="n">
        <v>40</v>
      </c>
      <c r="V177" s="7" t="n">
        <v>45</v>
      </c>
      <c r="W177" s="8" t="s">
        <v>52</v>
      </c>
      <c r="X177" s="8"/>
      <c r="Y177" s="8" t="s">
        <v>676</v>
      </c>
    </row>
    <row r="178" customFormat="false" ht="21.75" hidden="false" customHeight="true" outlineLevel="0" collapsed="false">
      <c r="B178" s="9" t="n">
        <v>174</v>
      </c>
      <c r="C178" s="9" t="s">
        <v>677</v>
      </c>
      <c r="D178" s="9" t="s">
        <v>678</v>
      </c>
      <c r="E178" s="9" t="s">
        <v>47</v>
      </c>
      <c r="F178" s="9" t="s">
        <v>48</v>
      </c>
      <c r="G178" s="9" t="s">
        <v>61</v>
      </c>
      <c r="H178" s="9" t="n">
        <v>5.95</v>
      </c>
      <c r="I178" s="9" t="n">
        <v>5</v>
      </c>
      <c r="J178" s="9" t="n">
        <v>5</v>
      </c>
      <c r="K178" s="9" t="n">
        <v>3</v>
      </c>
      <c r="L178" s="9" t="n">
        <v>10</v>
      </c>
      <c r="M178" s="9" t="n">
        <v>4</v>
      </c>
      <c r="N178" s="9" t="n">
        <v>8</v>
      </c>
      <c r="O178" s="9" t="n">
        <v>5</v>
      </c>
      <c r="P178" s="9" t="n">
        <v>9</v>
      </c>
      <c r="Q178" s="9" t="n">
        <v>6</v>
      </c>
      <c r="R178" s="9" t="n">
        <v>4</v>
      </c>
      <c r="S178" s="10" t="s">
        <v>123</v>
      </c>
      <c r="T178" s="10" t="s">
        <v>51</v>
      </c>
      <c r="U178" s="9" t="n">
        <v>6</v>
      </c>
      <c r="V178" s="9" t="n">
        <v>10</v>
      </c>
      <c r="W178" s="10" t="s">
        <v>52</v>
      </c>
      <c r="X178" s="10" t="s">
        <v>679</v>
      </c>
      <c r="Y178" s="10" t="s">
        <v>680</v>
      </c>
    </row>
    <row r="179" customFormat="false" ht="21.75" hidden="false" customHeight="true" outlineLevel="0" collapsed="false">
      <c r="B179" s="7" t="n">
        <v>175</v>
      </c>
      <c r="C179" s="7" t="s">
        <v>681</v>
      </c>
      <c r="D179" s="7" t="s">
        <v>682</v>
      </c>
      <c r="E179" s="7" t="s">
        <v>94</v>
      </c>
      <c r="F179" s="7" t="s">
        <v>95</v>
      </c>
      <c r="G179" s="7" t="s">
        <v>61</v>
      </c>
      <c r="H179" s="7" t="n">
        <v>5.95</v>
      </c>
      <c r="I179" s="7" t="n">
        <v>4</v>
      </c>
      <c r="J179" s="7" t="n">
        <v>6</v>
      </c>
      <c r="K179" s="7" t="n">
        <v>3</v>
      </c>
      <c r="L179" s="7" t="n">
        <v>10</v>
      </c>
      <c r="M179" s="7" t="n">
        <v>4</v>
      </c>
      <c r="N179" s="7" t="n">
        <v>7</v>
      </c>
      <c r="O179" s="7" t="n">
        <v>6</v>
      </c>
      <c r="P179" s="7" t="n">
        <v>10</v>
      </c>
      <c r="Q179" s="7" t="n">
        <v>7</v>
      </c>
      <c r="R179" s="7" t="n">
        <v>4</v>
      </c>
      <c r="S179" s="8" t="s">
        <v>123</v>
      </c>
      <c r="T179" s="8" t="s">
        <v>51</v>
      </c>
      <c r="U179" s="7" t="n">
        <v>10</v>
      </c>
      <c r="V179" s="7" t="n">
        <v>10</v>
      </c>
      <c r="W179" s="8" t="s">
        <v>52</v>
      </c>
      <c r="X179" s="8" t="s">
        <v>683</v>
      </c>
      <c r="Y179" s="8" t="s">
        <v>684</v>
      </c>
    </row>
    <row r="180" customFormat="false" ht="21.75" hidden="false" customHeight="true" outlineLevel="0" collapsed="false">
      <c r="B180" s="9" t="n">
        <v>176</v>
      </c>
      <c r="C180" s="9" t="s">
        <v>685</v>
      </c>
      <c r="D180" s="9" t="s">
        <v>686</v>
      </c>
      <c r="E180" s="9" t="s">
        <v>350</v>
      </c>
      <c r="F180" s="9" t="s">
        <v>350</v>
      </c>
      <c r="G180" s="9" t="s">
        <v>61</v>
      </c>
      <c r="H180" s="9" t="n">
        <v>5.95</v>
      </c>
      <c r="I180" s="9" t="n">
        <v>7</v>
      </c>
      <c r="J180" s="9" t="n">
        <v>3</v>
      </c>
      <c r="K180" s="9" t="n">
        <v>5</v>
      </c>
      <c r="L180" s="9" t="n">
        <v>10</v>
      </c>
      <c r="M180" s="9" t="n">
        <v>2</v>
      </c>
      <c r="N180" s="9" t="n">
        <v>9</v>
      </c>
      <c r="O180" s="9" t="n">
        <v>3</v>
      </c>
      <c r="P180" s="9" t="n">
        <v>10</v>
      </c>
      <c r="Q180" s="9" t="n">
        <v>5</v>
      </c>
      <c r="R180" s="9" t="n">
        <v>2</v>
      </c>
      <c r="S180" s="10" t="s">
        <v>50</v>
      </c>
      <c r="T180" s="10" t="s">
        <v>51</v>
      </c>
      <c r="U180" s="9" t="n">
        <v>4</v>
      </c>
      <c r="V180" s="9" t="n">
        <v>10</v>
      </c>
      <c r="W180" s="10" t="s">
        <v>52</v>
      </c>
      <c r="X180" s="10" t="s">
        <v>687</v>
      </c>
      <c r="Y180" s="10" t="s">
        <v>688</v>
      </c>
    </row>
    <row r="181" customFormat="false" ht="21.75" hidden="false" customHeight="true" outlineLevel="0" collapsed="false">
      <c r="B181" s="7" t="n">
        <v>177</v>
      </c>
      <c r="C181" s="7" t="s">
        <v>689</v>
      </c>
      <c r="D181" s="7" t="s">
        <v>690</v>
      </c>
      <c r="E181" s="7" t="s">
        <v>94</v>
      </c>
      <c r="F181" s="7" t="s">
        <v>95</v>
      </c>
      <c r="G181" s="7" t="s">
        <v>61</v>
      </c>
      <c r="H181" s="7" t="n">
        <v>5.9</v>
      </c>
      <c r="I181" s="7" t="n">
        <v>5</v>
      </c>
      <c r="J181" s="7" t="n">
        <v>4</v>
      </c>
      <c r="K181" s="7" t="n">
        <v>5</v>
      </c>
      <c r="L181" s="7" t="n">
        <v>10</v>
      </c>
      <c r="M181" s="7" t="n">
        <v>4</v>
      </c>
      <c r="N181" s="7" t="n">
        <v>7</v>
      </c>
      <c r="O181" s="7" t="n">
        <v>5</v>
      </c>
      <c r="P181" s="7" t="n">
        <v>10</v>
      </c>
      <c r="Q181" s="7" t="n">
        <v>6</v>
      </c>
      <c r="R181" s="7" t="n">
        <v>3</v>
      </c>
      <c r="S181" s="8" t="s">
        <v>123</v>
      </c>
      <c r="T181" s="8" t="s">
        <v>51</v>
      </c>
      <c r="U181" s="7" t="n">
        <v>5</v>
      </c>
      <c r="V181" s="7" t="n">
        <v>10</v>
      </c>
      <c r="W181" s="8" t="s">
        <v>52</v>
      </c>
      <c r="X181" s="8" t="s">
        <v>691</v>
      </c>
      <c r="Y181" s="8" t="s">
        <v>692</v>
      </c>
    </row>
    <row r="182" customFormat="false" ht="21.75" hidden="false" customHeight="true" outlineLevel="0" collapsed="false">
      <c r="B182" s="9" t="n">
        <v>178</v>
      </c>
      <c r="C182" s="9" t="s">
        <v>693</v>
      </c>
      <c r="D182" s="9" t="s">
        <v>694</v>
      </c>
      <c r="E182" s="9" t="s">
        <v>89</v>
      </c>
      <c r="F182" s="9" t="s">
        <v>90</v>
      </c>
      <c r="G182" s="9" t="s">
        <v>61</v>
      </c>
      <c r="H182" s="9" t="n">
        <v>5.9</v>
      </c>
      <c r="I182" s="9" t="n">
        <v>4</v>
      </c>
      <c r="J182" s="9" t="n">
        <v>6</v>
      </c>
      <c r="K182" s="9" t="n">
        <v>3</v>
      </c>
      <c r="L182" s="9" t="n">
        <v>9</v>
      </c>
      <c r="M182" s="9" t="n">
        <v>5</v>
      </c>
      <c r="N182" s="9" t="n">
        <v>8</v>
      </c>
      <c r="O182" s="9" t="n">
        <v>7</v>
      </c>
      <c r="P182" s="9" t="n">
        <v>8</v>
      </c>
      <c r="Q182" s="9" t="n">
        <v>6</v>
      </c>
      <c r="R182" s="9" t="n">
        <v>4</v>
      </c>
      <c r="S182" s="10" t="s">
        <v>56</v>
      </c>
      <c r="T182" s="10" t="s">
        <v>56</v>
      </c>
      <c r="U182" s="9" t="n">
        <v>18</v>
      </c>
      <c r="V182" s="9" t="n">
        <v>10</v>
      </c>
      <c r="W182" s="10" t="s">
        <v>52</v>
      </c>
      <c r="X182" s="10" t="s">
        <v>695</v>
      </c>
      <c r="Y182" s="10" t="s">
        <v>696</v>
      </c>
    </row>
    <row r="183" customFormat="false" ht="21.75" hidden="false" customHeight="true" outlineLevel="0" collapsed="false">
      <c r="B183" s="7" t="n">
        <v>179</v>
      </c>
      <c r="C183" s="7" t="s">
        <v>697</v>
      </c>
      <c r="D183" s="7" t="s">
        <v>698</v>
      </c>
      <c r="E183" s="7" t="s">
        <v>94</v>
      </c>
      <c r="F183" s="7" t="s">
        <v>95</v>
      </c>
      <c r="G183" s="7" t="s">
        <v>61</v>
      </c>
      <c r="H183" s="7" t="n">
        <v>5.9</v>
      </c>
      <c r="I183" s="7" t="n">
        <v>4</v>
      </c>
      <c r="J183" s="7" t="n">
        <v>5</v>
      </c>
      <c r="K183" s="7" t="n">
        <v>4</v>
      </c>
      <c r="L183" s="7" t="n">
        <v>10</v>
      </c>
      <c r="M183" s="7" t="n">
        <v>4</v>
      </c>
      <c r="N183" s="7" t="n">
        <v>8</v>
      </c>
      <c r="O183" s="7" t="n">
        <v>6</v>
      </c>
      <c r="P183" s="7" t="n">
        <v>10</v>
      </c>
      <c r="Q183" s="7" t="n">
        <v>6</v>
      </c>
      <c r="R183" s="7" t="n">
        <v>3</v>
      </c>
      <c r="S183" s="8" t="s">
        <v>123</v>
      </c>
      <c r="T183" s="8" t="s">
        <v>51</v>
      </c>
      <c r="U183" s="7" t="n">
        <v>8</v>
      </c>
      <c r="V183" s="7" t="n">
        <v>10</v>
      </c>
      <c r="W183" s="8" t="s">
        <v>52</v>
      </c>
      <c r="X183" s="8" t="s">
        <v>699</v>
      </c>
      <c r="Y183" s="8" t="s">
        <v>700</v>
      </c>
    </row>
    <row r="184" customFormat="false" ht="21.75" hidden="false" customHeight="true" outlineLevel="0" collapsed="false">
      <c r="B184" s="9" t="n">
        <v>180</v>
      </c>
      <c r="C184" s="9" t="s">
        <v>701</v>
      </c>
      <c r="D184" s="9" t="s">
        <v>702</v>
      </c>
      <c r="E184" s="9" t="s">
        <v>350</v>
      </c>
      <c r="F184" s="9" t="s">
        <v>350</v>
      </c>
      <c r="G184" s="9" t="s">
        <v>61</v>
      </c>
      <c r="H184" s="9" t="n">
        <v>5.9</v>
      </c>
      <c r="I184" s="9" t="n">
        <v>6</v>
      </c>
      <c r="J184" s="9" t="n">
        <v>3</v>
      </c>
      <c r="K184" s="9" t="n">
        <v>5</v>
      </c>
      <c r="L184" s="9" t="n">
        <v>10</v>
      </c>
      <c r="M184" s="9" t="n">
        <v>3</v>
      </c>
      <c r="N184" s="9" t="n">
        <v>9</v>
      </c>
      <c r="O184" s="9" t="n">
        <v>4</v>
      </c>
      <c r="P184" s="9" t="n">
        <v>10</v>
      </c>
      <c r="Q184" s="9" t="n">
        <v>5</v>
      </c>
      <c r="R184" s="9" t="n">
        <v>2</v>
      </c>
      <c r="S184" s="10" t="s">
        <v>50</v>
      </c>
      <c r="T184" s="10" t="s">
        <v>51</v>
      </c>
      <c r="U184" s="9" t="n">
        <v>5</v>
      </c>
      <c r="V184" s="9" t="n">
        <v>10</v>
      </c>
      <c r="W184" s="10" t="s">
        <v>52</v>
      </c>
      <c r="X184" s="10" t="s">
        <v>703</v>
      </c>
      <c r="Y184" s="10" t="s">
        <v>704</v>
      </c>
    </row>
    <row r="185" customFormat="false" ht="21.75" hidden="false" customHeight="true" outlineLevel="0" collapsed="false">
      <c r="B185" s="7" t="n">
        <v>181</v>
      </c>
      <c r="C185" s="7" t="s">
        <v>705</v>
      </c>
      <c r="D185" s="7" t="s">
        <v>706</v>
      </c>
      <c r="E185" s="7" t="s">
        <v>258</v>
      </c>
      <c r="F185" s="7" t="s">
        <v>259</v>
      </c>
      <c r="G185" s="7" t="s">
        <v>61</v>
      </c>
      <c r="H185" s="7" t="n">
        <v>5.9</v>
      </c>
      <c r="I185" s="7" t="n">
        <v>5</v>
      </c>
      <c r="J185" s="7" t="n">
        <v>4</v>
      </c>
      <c r="K185" s="7" t="n">
        <v>5</v>
      </c>
      <c r="L185" s="7" t="n">
        <v>10</v>
      </c>
      <c r="M185" s="7" t="n">
        <v>3</v>
      </c>
      <c r="N185" s="7" t="n">
        <v>8</v>
      </c>
      <c r="O185" s="7" t="n">
        <v>5</v>
      </c>
      <c r="P185" s="7" t="n">
        <v>10</v>
      </c>
      <c r="Q185" s="7" t="n">
        <v>6</v>
      </c>
      <c r="R185" s="7" t="n">
        <v>3</v>
      </c>
      <c r="S185" s="8" t="s">
        <v>123</v>
      </c>
      <c r="T185" s="8" t="s">
        <v>51</v>
      </c>
      <c r="U185" s="7" t="n">
        <v>8</v>
      </c>
      <c r="V185" s="7" t="n">
        <v>10</v>
      </c>
      <c r="W185" s="8" t="s">
        <v>52</v>
      </c>
      <c r="X185" s="8" t="s">
        <v>707</v>
      </c>
      <c r="Y185" s="8" t="s">
        <v>708</v>
      </c>
    </row>
    <row r="186" customFormat="false" ht="21.75" hidden="false" customHeight="true" outlineLevel="0" collapsed="false">
      <c r="B186" s="9" t="n">
        <v>182</v>
      </c>
      <c r="C186" s="9" t="s">
        <v>709</v>
      </c>
      <c r="D186" s="9" t="s">
        <v>710</v>
      </c>
      <c r="E186" s="9" t="s">
        <v>94</v>
      </c>
      <c r="F186" s="9" t="s">
        <v>95</v>
      </c>
      <c r="G186" s="9" t="s">
        <v>61</v>
      </c>
      <c r="H186" s="9" t="n">
        <v>5.85</v>
      </c>
      <c r="I186" s="9" t="n">
        <v>5</v>
      </c>
      <c r="J186" s="9" t="n">
        <v>4</v>
      </c>
      <c r="K186" s="9" t="n">
        <v>7</v>
      </c>
      <c r="L186" s="9" t="n">
        <v>10</v>
      </c>
      <c r="M186" s="9" t="n">
        <v>5</v>
      </c>
      <c r="N186" s="9" t="n">
        <v>5</v>
      </c>
      <c r="O186" s="9" t="n">
        <v>5</v>
      </c>
      <c r="P186" s="9" t="n">
        <v>7.5</v>
      </c>
      <c r="Q186" s="9" t="n">
        <v>4.5</v>
      </c>
      <c r="R186" s="9" t="n">
        <v>4</v>
      </c>
      <c r="S186" s="10" t="s">
        <v>123</v>
      </c>
      <c r="T186" s="10" t="s">
        <v>51</v>
      </c>
      <c r="U186" s="9" t="n">
        <v>10</v>
      </c>
      <c r="V186" s="9" t="n">
        <v>10</v>
      </c>
      <c r="W186" s="10" t="s">
        <v>52</v>
      </c>
      <c r="X186" s="10" t="s">
        <v>711</v>
      </c>
      <c r="Y186" s="10" t="s">
        <v>712</v>
      </c>
    </row>
    <row r="187" customFormat="false" ht="21.75" hidden="false" customHeight="true" outlineLevel="0" collapsed="false">
      <c r="B187" s="7" t="n">
        <v>183</v>
      </c>
      <c r="C187" s="7" t="s">
        <v>713</v>
      </c>
      <c r="D187" s="7" t="s">
        <v>714</v>
      </c>
      <c r="E187" s="7" t="s">
        <v>89</v>
      </c>
      <c r="F187" s="7" t="s">
        <v>90</v>
      </c>
      <c r="G187" s="7" t="s">
        <v>61</v>
      </c>
      <c r="H187" s="7" t="n">
        <v>5.85</v>
      </c>
      <c r="I187" s="7" t="n">
        <v>4</v>
      </c>
      <c r="J187" s="7" t="n">
        <v>4</v>
      </c>
      <c r="K187" s="7" t="n">
        <v>4</v>
      </c>
      <c r="L187" s="7" t="n">
        <v>10</v>
      </c>
      <c r="M187" s="7" t="n">
        <v>3</v>
      </c>
      <c r="N187" s="7" t="n">
        <v>7</v>
      </c>
      <c r="O187" s="7" t="n">
        <v>9</v>
      </c>
      <c r="P187" s="7" t="n">
        <v>10</v>
      </c>
      <c r="Q187" s="7" t="n">
        <v>6</v>
      </c>
      <c r="R187" s="7" t="n">
        <v>6</v>
      </c>
      <c r="S187" s="8" t="s">
        <v>123</v>
      </c>
      <c r="T187" s="8" t="s">
        <v>51</v>
      </c>
      <c r="U187" s="7" t="n">
        <v>4</v>
      </c>
      <c r="V187" s="7" t="n">
        <v>10</v>
      </c>
      <c r="W187" s="8" t="s">
        <v>52</v>
      </c>
      <c r="X187" s="8" t="s">
        <v>715</v>
      </c>
      <c r="Y187" s="8" t="s">
        <v>716</v>
      </c>
    </row>
    <row r="188" customFormat="false" ht="21.75" hidden="false" customHeight="true" outlineLevel="0" collapsed="false">
      <c r="B188" s="9" t="n">
        <v>184</v>
      </c>
      <c r="C188" s="9" t="s">
        <v>717</v>
      </c>
      <c r="D188" s="9" t="s">
        <v>718</v>
      </c>
      <c r="E188" s="9" t="s">
        <v>76</v>
      </c>
      <c r="F188" s="9" t="s">
        <v>77</v>
      </c>
      <c r="G188" s="9" t="s">
        <v>61</v>
      </c>
      <c r="H188" s="9" t="n">
        <v>5.85</v>
      </c>
      <c r="I188" s="9" t="n">
        <v>4</v>
      </c>
      <c r="J188" s="9" t="n">
        <v>5</v>
      </c>
      <c r="K188" s="9" t="n">
        <v>3</v>
      </c>
      <c r="L188" s="9" t="n">
        <v>10</v>
      </c>
      <c r="M188" s="9" t="n">
        <v>4</v>
      </c>
      <c r="N188" s="9" t="n">
        <v>7</v>
      </c>
      <c r="O188" s="9" t="n">
        <v>8</v>
      </c>
      <c r="P188" s="9" t="n">
        <v>10</v>
      </c>
      <c r="Q188" s="9" t="n">
        <v>6</v>
      </c>
      <c r="R188" s="9" t="n">
        <v>4</v>
      </c>
      <c r="S188" s="10" t="s">
        <v>123</v>
      </c>
      <c r="T188" s="10" t="s">
        <v>51</v>
      </c>
      <c r="U188" s="9" t="n">
        <v>10</v>
      </c>
      <c r="V188" s="9" t="n">
        <v>10</v>
      </c>
      <c r="W188" s="10" t="s">
        <v>52</v>
      </c>
      <c r="X188" s="10" t="s">
        <v>719</v>
      </c>
      <c r="Y188" s="10" t="s">
        <v>720</v>
      </c>
    </row>
    <row r="189" customFormat="false" ht="21.75" hidden="false" customHeight="true" outlineLevel="0" collapsed="false">
      <c r="B189" s="7" t="n">
        <v>185</v>
      </c>
      <c r="C189" s="7" t="s">
        <v>721</v>
      </c>
      <c r="D189" s="7" t="s">
        <v>722</v>
      </c>
      <c r="E189" s="7" t="s">
        <v>76</v>
      </c>
      <c r="F189" s="7" t="s">
        <v>77</v>
      </c>
      <c r="G189" s="7" t="s">
        <v>61</v>
      </c>
      <c r="H189" s="7" t="n">
        <v>5.85</v>
      </c>
      <c r="I189" s="7" t="n">
        <v>6</v>
      </c>
      <c r="J189" s="7" t="n">
        <v>6</v>
      </c>
      <c r="K189" s="7" t="n">
        <v>5</v>
      </c>
      <c r="L189" s="7" t="n">
        <v>5</v>
      </c>
      <c r="M189" s="7" t="n">
        <v>6</v>
      </c>
      <c r="N189" s="7" t="n">
        <v>8</v>
      </c>
      <c r="O189" s="7" t="n">
        <v>6</v>
      </c>
      <c r="P189" s="7" t="n">
        <v>5</v>
      </c>
      <c r="Q189" s="7" t="n">
        <v>7</v>
      </c>
      <c r="R189" s="7" t="n">
        <v>4</v>
      </c>
      <c r="S189" s="8" t="s">
        <v>56</v>
      </c>
      <c r="T189" s="8" t="s">
        <v>56</v>
      </c>
      <c r="U189" s="7" t="n">
        <v>30</v>
      </c>
      <c r="V189" s="7" t="n">
        <v>45</v>
      </c>
      <c r="W189" s="8" t="s">
        <v>57</v>
      </c>
      <c r="X189" s="8" t="s">
        <v>723</v>
      </c>
      <c r="Y189" s="8" t="s">
        <v>724</v>
      </c>
    </row>
    <row r="190" customFormat="false" ht="21.75" hidden="false" customHeight="true" outlineLevel="0" collapsed="false">
      <c r="B190" s="9" t="n">
        <v>186</v>
      </c>
      <c r="C190" s="9" t="s">
        <v>725</v>
      </c>
      <c r="D190" s="9" t="s">
        <v>726</v>
      </c>
      <c r="E190" s="9" t="s">
        <v>76</v>
      </c>
      <c r="F190" s="9" t="s">
        <v>77</v>
      </c>
      <c r="G190" s="9" t="s">
        <v>49</v>
      </c>
      <c r="H190" s="9" t="n">
        <v>5.83</v>
      </c>
      <c r="I190" s="9" t="n">
        <v>8.5</v>
      </c>
      <c r="J190" s="9" t="n">
        <v>5</v>
      </c>
      <c r="K190" s="9" t="n">
        <v>5</v>
      </c>
      <c r="L190" s="9" t="n">
        <v>6.5</v>
      </c>
      <c r="M190" s="9" t="n">
        <v>3.5</v>
      </c>
      <c r="N190" s="9" t="n">
        <v>5</v>
      </c>
      <c r="O190" s="9" t="n">
        <v>3.5</v>
      </c>
      <c r="P190" s="9" t="n">
        <v>7.5</v>
      </c>
      <c r="Q190" s="9" t="n">
        <v>4.5</v>
      </c>
      <c r="R190" s="9" t="n">
        <v>5.5</v>
      </c>
      <c r="S190" s="10" t="s">
        <v>123</v>
      </c>
      <c r="T190" s="10" t="s">
        <v>51</v>
      </c>
      <c r="U190" s="9" t="n">
        <v>36</v>
      </c>
      <c r="V190" s="9" t="n">
        <v>30</v>
      </c>
      <c r="W190" s="10" t="s">
        <v>52</v>
      </c>
      <c r="X190" s="10"/>
      <c r="Y190" s="10" t="s">
        <v>727</v>
      </c>
    </row>
    <row r="191" customFormat="false" ht="21.75" hidden="false" customHeight="true" outlineLevel="0" collapsed="false">
      <c r="B191" s="7" t="n">
        <v>187</v>
      </c>
      <c r="C191" s="7" t="s">
        <v>728</v>
      </c>
      <c r="D191" s="7" t="s">
        <v>729</v>
      </c>
      <c r="E191" s="7" t="s">
        <v>47</v>
      </c>
      <c r="F191" s="7" t="s">
        <v>48</v>
      </c>
      <c r="G191" s="7" t="s">
        <v>61</v>
      </c>
      <c r="H191" s="7" t="n">
        <v>5.8</v>
      </c>
      <c r="I191" s="7" t="n">
        <v>5</v>
      </c>
      <c r="J191" s="7" t="n">
        <v>4</v>
      </c>
      <c r="K191" s="7" t="n">
        <v>4</v>
      </c>
      <c r="L191" s="7" t="n">
        <v>10</v>
      </c>
      <c r="M191" s="7" t="n">
        <v>3</v>
      </c>
      <c r="N191" s="7" t="n">
        <v>8</v>
      </c>
      <c r="O191" s="7" t="n">
        <v>5</v>
      </c>
      <c r="P191" s="7" t="n">
        <v>10</v>
      </c>
      <c r="Q191" s="7" t="n">
        <v>6</v>
      </c>
      <c r="R191" s="7" t="n">
        <v>3</v>
      </c>
      <c r="S191" s="8" t="s">
        <v>123</v>
      </c>
      <c r="T191" s="8" t="s">
        <v>51</v>
      </c>
      <c r="U191" s="7" t="n">
        <v>4</v>
      </c>
      <c r="V191" s="7" t="n">
        <v>10</v>
      </c>
      <c r="W191" s="8" t="s">
        <v>52</v>
      </c>
      <c r="X191" s="8" t="s">
        <v>730</v>
      </c>
      <c r="Y191" s="8" t="s">
        <v>731</v>
      </c>
    </row>
    <row r="192" customFormat="false" ht="21.75" hidden="false" customHeight="true" outlineLevel="0" collapsed="false">
      <c r="B192" s="9" t="n">
        <v>188</v>
      </c>
      <c r="C192" s="9" t="s">
        <v>732</v>
      </c>
      <c r="D192" s="9" t="s">
        <v>733</v>
      </c>
      <c r="E192" s="9" t="s">
        <v>89</v>
      </c>
      <c r="F192" s="9" t="s">
        <v>90</v>
      </c>
      <c r="G192" s="9" t="s">
        <v>61</v>
      </c>
      <c r="H192" s="9" t="n">
        <v>5.8</v>
      </c>
      <c r="I192" s="9" t="n">
        <v>4</v>
      </c>
      <c r="J192" s="9" t="n">
        <v>6</v>
      </c>
      <c r="K192" s="9" t="n">
        <v>3</v>
      </c>
      <c r="L192" s="9" t="n">
        <v>9</v>
      </c>
      <c r="M192" s="9" t="n">
        <v>5</v>
      </c>
      <c r="N192" s="9" t="n">
        <v>7</v>
      </c>
      <c r="O192" s="9" t="n">
        <v>7</v>
      </c>
      <c r="P192" s="9" t="n">
        <v>8</v>
      </c>
      <c r="Q192" s="9" t="n">
        <v>6</v>
      </c>
      <c r="R192" s="9" t="n">
        <v>4</v>
      </c>
      <c r="S192" s="10" t="s">
        <v>56</v>
      </c>
      <c r="T192" s="10" t="s">
        <v>56</v>
      </c>
      <c r="U192" s="9" t="n">
        <v>18</v>
      </c>
      <c r="V192" s="9" t="n">
        <v>10</v>
      </c>
      <c r="W192" s="10" t="s">
        <v>52</v>
      </c>
      <c r="X192" s="10" t="s">
        <v>734</v>
      </c>
      <c r="Y192" s="10" t="s">
        <v>735</v>
      </c>
    </row>
    <row r="193" customFormat="false" ht="21.75" hidden="false" customHeight="true" outlineLevel="0" collapsed="false">
      <c r="B193" s="7" t="n">
        <v>189</v>
      </c>
      <c r="C193" s="7" t="s">
        <v>736</v>
      </c>
      <c r="D193" s="7" t="s">
        <v>737</v>
      </c>
      <c r="E193" s="7" t="s">
        <v>89</v>
      </c>
      <c r="F193" s="7" t="s">
        <v>90</v>
      </c>
      <c r="G193" s="7" t="s">
        <v>61</v>
      </c>
      <c r="H193" s="7" t="n">
        <v>5.8</v>
      </c>
      <c r="I193" s="7" t="n">
        <v>3</v>
      </c>
      <c r="J193" s="7" t="n">
        <v>6</v>
      </c>
      <c r="K193" s="7" t="n">
        <v>4</v>
      </c>
      <c r="L193" s="7" t="n">
        <v>9</v>
      </c>
      <c r="M193" s="7" t="n">
        <v>6</v>
      </c>
      <c r="N193" s="7" t="n">
        <v>6</v>
      </c>
      <c r="O193" s="7" t="n">
        <v>8</v>
      </c>
      <c r="P193" s="7" t="n">
        <v>8</v>
      </c>
      <c r="Q193" s="7" t="n">
        <v>7</v>
      </c>
      <c r="R193" s="7" t="n">
        <v>4</v>
      </c>
      <c r="S193" s="8" t="s">
        <v>56</v>
      </c>
      <c r="T193" s="8" t="s">
        <v>56</v>
      </c>
      <c r="U193" s="7" t="n">
        <v>18</v>
      </c>
      <c r="V193" s="7" t="n">
        <v>10</v>
      </c>
      <c r="W193" s="8" t="s">
        <v>52</v>
      </c>
      <c r="X193" s="8" t="s">
        <v>738</v>
      </c>
      <c r="Y193" s="8" t="s">
        <v>739</v>
      </c>
    </row>
    <row r="194" customFormat="false" ht="21.75" hidden="false" customHeight="true" outlineLevel="0" collapsed="false">
      <c r="B194" s="9" t="n">
        <v>190</v>
      </c>
      <c r="C194" s="9" t="s">
        <v>740</v>
      </c>
      <c r="D194" s="9" t="s">
        <v>741</v>
      </c>
      <c r="E194" s="9" t="s">
        <v>89</v>
      </c>
      <c r="F194" s="9" t="s">
        <v>90</v>
      </c>
      <c r="G194" s="9" t="s">
        <v>61</v>
      </c>
      <c r="H194" s="9" t="n">
        <v>5.8</v>
      </c>
      <c r="I194" s="9" t="n">
        <v>4</v>
      </c>
      <c r="J194" s="9" t="n">
        <v>3</v>
      </c>
      <c r="K194" s="9" t="n">
        <v>5</v>
      </c>
      <c r="L194" s="9" t="n">
        <v>10</v>
      </c>
      <c r="M194" s="9" t="n">
        <v>3</v>
      </c>
      <c r="N194" s="9" t="n">
        <v>7</v>
      </c>
      <c r="O194" s="9" t="n">
        <v>9</v>
      </c>
      <c r="P194" s="9" t="n">
        <v>10</v>
      </c>
      <c r="Q194" s="9" t="n">
        <v>6</v>
      </c>
      <c r="R194" s="9" t="n">
        <v>6</v>
      </c>
      <c r="S194" s="10" t="s">
        <v>50</v>
      </c>
      <c r="T194" s="10" t="s">
        <v>51</v>
      </c>
      <c r="U194" s="9" t="n">
        <v>4</v>
      </c>
      <c r="V194" s="9" t="n">
        <v>10</v>
      </c>
      <c r="W194" s="10" t="s">
        <v>52</v>
      </c>
      <c r="X194" s="10" t="s">
        <v>742</v>
      </c>
      <c r="Y194" s="10" t="s">
        <v>743</v>
      </c>
    </row>
    <row r="195" customFormat="false" ht="21.75" hidden="false" customHeight="true" outlineLevel="0" collapsed="false">
      <c r="B195" s="7" t="n">
        <v>191</v>
      </c>
      <c r="C195" s="7" t="s">
        <v>744</v>
      </c>
      <c r="D195" s="7" t="s">
        <v>745</v>
      </c>
      <c r="E195" s="7" t="s">
        <v>76</v>
      </c>
      <c r="F195" s="7" t="s">
        <v>77</v>
      </c>
      <c r="G195" s="7" t="s">
        <v>61</v>
      </c>
      <c r="H195" s="7" t="n">
        <v>5.8</v>
      </c>
      <c r="I195" s="7" t="n">
        <v>3</v>
      </c>
      <c r="J195" s="7" t="n">
        <v>5</v>
      </c>
      <c r="K195" s="7" t="n">
        <v>3</v>
      </c>
      <c r="L195" s="7" t="n">
        <v>10</v>
      </c>
      <c r="M195" s="7" t="n">
        <v>4</v>
      </c>
      <c r="N195" s="7" t="n">
        <v>7</v>
      </c>
      <c r="O195" s="7" t="n">
        <v>9</v>
      </c>
      <c r="P195" s="7" t="n">
        <v>10</v>
      </c>
      <c r="Q195" s="7" t="n">
        <v>6</v>
      </c>
      <c r="R195" s="7" t="n">
        <v>6</v>
      </c>
      <c r="S195" s="8" t="s">
        <v>123</v>
      </c>
      <c r="T195" s="8" t="s">
        <v>51</v>
      </c>
      <c r="U195" s="7" t="n">
        <v>10</v>
      </c>
      <c r="V195" s="7" t="n">
        <v>10</v>
      </c>
      <c r="W195" s="8" t="s">
        <v>52</v>
      </c>
      <c r="X195" s="8" t="s">
        <v>746</v>
      </c>
      <c r="Y195" s="8" t="s">
        <v>747</v>
      </c>
    </row>
    <row r="196" customFormat="false" ht="21.75" hidden="false" customHeight="true" outlineLevel="0" collapsed="false">
      <c r="B196" s="9" t="n">
        <v>192</v>
      </c>
      <c r="C196" s="9" t="s">
        <v>748</v>
      </c>
      <c r="D196" s="9" t="s">
        <v>749</v>
      </c>
      <c r="E196" s="9" t="s">
        <v>47</v>
      </c>
      <c r="F196" s="9" t="s">
        <v>48</v>
      </c>
      <c r="G196" s="9" t="s">
        <v>61</v>
      </c>
      <c r="H196" s="9" t="n">
        <v>5.75</v>
      </c>
      <c r="I196" s="9" t="n">
        <v>3</v>
      </c>
      <c r="J196" s="9" t="n">
        <v>6</v>
      </c>
      <c r="K196" s="9" t="n">
        <v>2</v>
      </c>
      <c r="L196" s="9" t="n">
        <v>9</v>
      </c>
      <c r="M196" s="9" t="n">
        <v>7</v>
      </c>
      <c r="N196" s="9" t="n">
        <v>7</v>
      </c>
      <c r="O196" s="9" t="n">
        <v>7</v>
      </c>
      <c r="P196" s="9" t="n">
        <v>8</v>
      </c>
      <c r="Q196" s="9" t="n">
        <v>6</v>
      </c>
      <c r="R196" s="9" t="n">
        <v>5</v>
      </c>
      <c r="S196" s="10" t="s">
        <v>55</v>
      </c>
      <c r="T196" s="10" t="s">
        <v>56</v>
      </c>
      <c r="U196" s="9" t="n">
        <v>25</v>
      </c>
      <c r="V196" s="9" t="n">
        <v>10</v>
      </c>
      <c r="W196" s="10" t="s">
        <v>52</v>
      </c>
      <c r="X196" s="10" t="s">
        <v>750</v>
      </c>
      <c r="Y196" s="10" t="s">
        <v>751</v>
      </c>
    </row>
    <row r="197" customFormat="false" ht="21.75" hidden="false" customHeight="true" outlineLevel="0" collapsed="false">
      <c r="B197" s="7" t="n">
        <v>193</v>
      </c>
      <c r="C197" s="7" t="s">
        <v>752</v>
      </c>
      <c r="D197" s="7" t="s">
        <v>753</v>
      </c>
      <c r="E197" s="7" t="s">
        <v>94</v>
      </c>
      <c r="F197" s="7" t="s">
        <v>95</v>
      </c>
      <c r="G197" s="7" t="s">
        <v>61</v>
      </c>
      <c r="H197" s="7" t="n">
        <v>5.75</v>
      </c>
      <c r="I197" s="7" t="n">
        <v>3</v>
      </c>
      <c r="J197" s="7" t="n">
        <v>6</v>
      </c>
      <c r="K197" s="7" t="n">
        <v>3</v>
      </c>
      <c r="L197" s="7" t="n">
        <v>8</v>
      </c>
      <c r="M197" s="7" t="n">
        <v>5</v>
      </c>
      <c r="N197" s="7" t="n">
        <v>6</v>
      </c>
      <c r="O197" s="7" t="n">
        <v>9</v>
      </c>
      <c r="P197" s="7" t="n">
        <v>8</v>
      </c>
      <c r="Q197" s="7" t="n">
        <v>9</v>
      </c>
      <c r="R197" s="7" t="n">
        <v>7</v>
      </c>
      <c r="S197" s="8" t="s">
        <v>55</v>
      </c>
      <c r="T197" s="8" t="s">
        <v>56</v>
      </c>
      <c r="U197" s="7" t="n">
        <v>30</v>
      </c>
      <c r="V197" s="7" t="n">
        <v>25</v>
      </c>
      <c r="W197" s="8" t="s">
        <v>57</v>
      </c>
      <c r="X197" s="8" t="s">
        <v>754</v>
      </c>
      <c r="Y197" s="8" t="s">
        <v>755</v>
      </c>
    </row>
    <row r="198" customFormat="false" ht="21.75" hidden="false" customHeight="true" outlineLevel="0" collapsed="false">
      <c r="B198" s="9" t="n">
        <v>194</v>
      </c>
      <c r="C198" s="9" t="s">
        <v>756</v>
      </c>
      <c r="D198" s="9" t="s">
        <v>757</v>
      </c>
      <c r="E198" s="9" t="s">
        <v>76</v>
      </c>
      <c r="F198" s="9" t="s">
        <v>77</v>
      </c>
      <c r="G198" s="9" t="s">
        <v>61</v>
      </c>
      <c r="H198" s="9" t="n">
        <v>5.75</v>
      </c>
      <c r="I198" s="9" t="n">
        <v>6</v>
      </c>
      <c r="J198" s="9" t="n">
        <v>4</v>
      </c>
      <c r="K198" s="9" t="n">
        <v>6</v>
      </c>
      <c r="L198" s="9" t="n">
        <v>7</v>
      </c>
      <c r="M198" s="9" t="n">
        <v>5</v>
      </c>
      <c r="N198" s="9" t="n">
        <v>7</v>
      </c>
      <c r="O198" s="9" t="n">
        <v>5</v>
      </c>
      <c r="P198" s="9" t="n">
        <v>6</v>
      </c>
      <c r="Q198" s="9" t="n">
        <v>7</v>
      </c>
      <c r="R198" s="9" t="n">
        <v>4</v>
      </c>
      <c r="S198" s="10" t="s">
        <v>56</v>
      </c>
      <c r="T198" s="10" t="s">
        <v>56</v>
      </c>
      <c r="U198" s="9" t="n">
        <v>50</v>
      </c>
      <c r="V198" s="9" t="n">
        <v>30</v>
      </c>
      <c r="W198" s="10" t="s">
        <v>52</v>
      </c>
      <c r="X198" s="10" t="s">
        <v>758</v>
      </c>
      <c r="Y198" s="10" t="s">
        <v>759</v>
      </c>
    </row>
    <row r="199" customFormat="false" ht="21.75" hidden="false" customHeight="true" outlineLevel="0" collapsed="false">
      <c r="B199" s="7" t="n">
        <v>195</v>
      </c>
      <c r="C199" s="7" t="s">
        <v>760</v>
      </c>
      <c r="D199" s="7" t="s">
        <v>761</v>
      </c>
      <c r="E199" s="7" t="s">
        <v>76</v>
      </c>
      <c r="F199" s="7" t="s">
        <v>77</v>
      </c>
      <c r="G199" s="7" t="s">
        <v>61</v>
      </c>
      <c r="H199" s="7" t="n">
        <v>5.75</v>
      </c>
      <c r="I199" s="7" t="n">
        <v>4</v>
      </c>
      <c r="J199" s="7" t="n">
        <v>4</v>
      </c>
      <c r="K199" s="7" t="n">
        <v>5</v>
      </c>
      <c r="L199" s="7" t="n">
        <v>9</v>
      </c>
      <c r="M199" s="7" t="n">
        <v>3</v>
      </c>
      <c r="N199" s="7" t="n">
        <v>7</v>
      </c>
      <c r="O199" s="7" t="n">
        <v>8</v>
      </c>
      <c r="P199" s="7" t="n">
        <v>9</v>
      </c>
      <c r="Q199" s="7" t="n">
        <v>7</v>
      </c>
      <c r="R199" s="7" t="n">
        <v>6</v>
      </c>
      <c r="S199" s="8" t="s">
        <v>123</v>
      </c>
      <c r="T199" s="8" t="s">
        <v>51</v>
      </c>
      <c r="U199" s="7" t="n">
        <v>15</v>
      </c>
      <c r="V199" s="7" t="n">
        <v>10</v>
      </c>
      <c r="W199" s="8" t="s">
        <v>52</v>
      </c>
      <c r="X199" s="8" t="s">
        <v>762</v>
      </c>
      <c r="Y199" s="8" t="s">
        <v>763</v>
      </c>
    </row>
    <row r="200" customFormat="false" ht="21.75" hidden="false" customHeight="true" outlineLevel="0" collapsed="false">
      <c r="B200" s="9" t="n">
        <v>196</v>
      </c>
      <c r="C200" s="9" t="s">
        <v>764</v>
      </c>
      <c r="D200" s="9" t="s">
        <v>765</v>
      </c>
      <c r="E200" s="9" t="s">
        <v>89</v>
      </c>
      <c r="F200" s="9" t="s">
        <v>90</v>
      </c>
      <c r="G200" s="9" t="s">
        <v>61</v>
      </c>
      <c r="H200" s="9" t="n">
        <v>5.7</v>
      </c>
      <c r="I200" s="9" t="n">
        <v>4</v>
      </c>
      <c r="J200" s="9" t="n">
        <v>3</v>
      </c>
      <c r="K200" s="9" t="n">
        <v>4</v>
      </c>
      <c r="L200" s="9" t="n">
        <v>10</v>
      </c>
      <c r="M200" s="9" t="n">
        <v>3</v>
      </c>
      <c r="N200" s="9" t="n">
        <v>7</v>
      </c>
      <c r="O200" s="9" t="n">
        <v>9</v>
      </c>
      <c r="P200" s="9" t="n">
        <v>10</v>
      </c>
      <c r="Q200" s="9" t="n">
        <v>6</v>
      </c>
      <c r="R200" s="9" t="n">
        <v>6</v>
      </c>
      <c r="S200" s="10" t="s">
        <v>123</v>
      </c>
      <c r="T200" s="10" t="s">
        <v>51</v>
      </c>
      <c r="U200" s="9" t="n">
        <v>6</v>
      </c>
      <c r="V200" s="9" t="n">
        <v>10</v>
      </c>
      <c r="W200" s="10" t="s">
        <v>52</v>
      </c>
      <c r="X200" s="10" t="s">
        <v>766</v>
      </c>
      <c r="Y200" s="10" t="s">
        <v>767</v>
      </c>
    </row>
    <row r="201" customFormat="false" ht="21.75" hidden="false" customHeight="true" outlineLevel="0" collapsed="false">
      <c r="B201" s="7" t="n">
        <v>197</v>
      </c>
      <c r="C201" s="7" t="s">
        <v>768</v>
      </c>
      <c r="D201" s="7" t="s">
        <v>769</v>
      </c>
      <c r="E201" s="7" t="s">
        <v>94</v>
      </c>
      <c r="F201" s="7" t="s">
        <v>95</v>
      </c>
      <c r="G201" s="7" t="s">
        <v>61</v>
      </c>
      <c r="H201" s="7" t="n">
        <v>5.7</v>
      </c>
      <c r="I201" s="7" t="n">
        <v>4</v>
      </c>
      <c r="J201" s="7" t="n">
        <v>5</v>
      </c>
      <c r="K201" s="7" t="n">
        <v>3</v>
      </c>
      <c r="L201" s="7" t="n">
        <v>9</v>
      </c>
      <c r="M201" s="7" t="n">
        <v>5</v>
      </c>
      <c r="N201" s="7" t="n">
        <v>7</v>
      </c>
      <c r="O201" s="7" t="n">
        <v>7</v>
      </c>
      <c r="P201" s="7" t="n">
        <v>9</v>
      </c>
      <c r="Q201" s="7" t="n">
        <v>6</v>
      </c>
      <c r="R201" s="7" t="n">
        <v>4</v>
      </c>
      <c r="S201" s="8" t="s">
        <v>56</v>
      </c>
      <c r="T201" s="8" t="s">
        <v>56</v>
      </c>
      <c r="U201" s="7" t="n">
        <v>20</v>
      </c>
      <c r="V201" s="7" t="n">
        <v>10</v>
      </c>
      <c r="W201" s="8" t="s">
        <v>52</v>
      </c>
      <c r="X201" s="8" t="s">
        <v>770</v>
      </c>
      <c r="Y201" s="8" t="s">
        <v>771</v>
      </c>
    </row>
    <row r="202" customFormat="false" ht="21.75" hidden="false" customHeight="true" outlineLevel="0" collapsed="false">
      <c r="B202" s="9" t="n">
        <v>198</v>
      </c>
      <c r="C202" s="9" t="s">
        <v>772</v>
      </c>
      <c r="D202" s="9" t="s">
        <v>773</v>
      </c>
      <c r="E202" s="9" t="s">
        <v>350</v>
      </c>
      <c r="F202" s="9" t="s">
        <v>350</v>
      </c>
      <c r="G202" s="9" t="s">
        <v>61</v>
      </c>
      <c r="H202" s="9" t="n">
        <v>5.7</v>
      </c>
      <c r="I202" s="9" t="n">
        <v>7</v>
      </c>
      <c r="J202" s="9" t="n">
        <v>2</v>
      </c>
      <c r="K202" s="9" t="n">
        <v>5</v>
      </c>
      <c r="L202" s="9" t="n">
        <v>10</v>
      </c>
      <c r="M202" s="9" t="n">
        <v>2</v>
      </c>
      <c r="N202" s="9" t="n">
        <v>9</v>
      </c>
      <c r="O202" s="9" t="n">
        <v>3</v>
      </c>
      <c r="P202" s="9" t="n">
        <v>10</v>
      </c>
      <c r="Q202" s="9" t="n">
        <v>4</v>
      </c>
      <c r="R202" s="9" t="n">
        <v>1</v>
      </c>
      <c r="S202" s="10" t="s">
        <v>50</v>
      </c>
      <c r="T202" s="10" t="s">
        <v>51</v>
      </c>
      <c r="U202" s="9" t="n">
        <v>3</v>
      </c>
      <c r="V202" s="9" t="n">
        <v>10</v>
      </c>
      <c r="W202" s="10" t="s">
        <v>52</v>
      </c>
      <c r="X202" s="10" t="s">
        <v>774</v>
      </c>
      <c r="Y202" s="10" t="s">
        <v>775</v>
      </c>
    </row>
    <row r="203" customFormat="false" ht="21.75" hidden="false" customHeight="true" outlineLevel="0" collapsed="false">
      <c r="B203" s="7" t="n">
        <v>199</v>
      </c>
      <c r="C203" s="7" t="s">
        <v>776</v>
      </c>
      <c r="D203" s="7" t="s">
        <v>777</v>
      </c>
      <c r="E203" s="7" t="s">
        <v>350</v>
      </c>
      <c r="F203" s="7" t="s">
        <v>350</v>
      </c>
      <c r="G203" s="7" t="s">
        <v>61</v>
      </c>
      <c r="H203" s="7" t="n">
        <v>5.7</v>
      </c>
      <c r="I203" s="7" t="n">
        <v>5</v>
      </c>
      <c r="J203" s="7" t="n">
        <v>4</v>
      </c>
      <c r="K203" s="7" t="n">
        <v>4</v>
      </c>
      <c r="L203" s="7" t="n">
        <v>10</v>
      </c>
      <c r="M203" s="7" t="n">
        <v>3</v>
      </c>
      <c r="N203" s="7" t="n">
        <v>8</v>
      </c>
      <c r="O203" s="7" t="n">
        <v>5</v>
      </c>
      <c r="P203" s="7" t="n">
        <v>10</v>
      </c>
      <c r="Q203" s="7" t="n">
        <v>5</v>
      </c>
      <c r="R203" s="7" t="n">
        <v>2</v>
      </c>
      <c r="S203" s="8" t="s">
        <v>123</v>
      </c>
      <c r="T203" s="8" t="s">
        <v>51</v>
      </c>
      <c r="U203" s="7" t="n">
        <v>8</v>
      </c>
      <c r="V203" s="7" t="n">
        <v>10</v>
      </c>
      <c r="W203" s="8" t="s">
        <v>52</v>
      </c>
      <c r="X203" s="8" t="s">
        <v>778</v>
      </c>
      <c r="Y203" s="8" t="s">
        <v>779</v>
      </c>
    </row>
    <row r="204" customFormat="false" ht="21.75" hidden="false" customHeight="true" outlineLevel="0" collapsed="false">
      <c r="B204" s="9" t="n">
        <v>200</v>
      </c>
      <c r="C204" s="9" t="s">
        <v>780</v>
      </c>
      <c r="D204" s="9" t="s">
        <v>781</v>
      </c>
      <c r="E204" s="9" t="s">
        <v>350</v>
      </c>
      <c r="F204" s="9" t="s">
        <v>350</v>
      </c>
      <c r="G204" s="9" t="s">
        <v>61</v>
      </c>
      <c r="H204" s="9" t="n">
        <v>5.7</v>
      </c>
      <c r="I204" s="9" t="n">
        <v>4</v>
      </c>
      <c r="J204" s="9" t="n">
        <v>5</v>
      </c>
      <c r="K204" s="9" t="n">
        <v>3</v>
      </c>
      <c r="L204" s="9" t="n">
        <v>10</v>
      </c>
      <c r="M204" s="9" t="n">
        <v>4</v>
      </c>
      <c r="N204" s="9" t="n">
        <v>7</v>
      </c>
      <c r="O204" s="9" t="n">
        <v>6</v>
      </c>
      <c r="P204" s="9" t="n">
        <v>10</v>
      </c>
      <c r="Q204" s="9" t="n">
        <v>6</v>
      </c>
      <c r="R204" s="9" t="n">
        <v>3</v>
      </c>
      <c r="S204" s="10" t="s">
        <v>123</v>
      </c>
      <c r="T204" s="10" t="s">
        <v>51</v>
      </c>
      <c r="U204" s="9" t="n">
        <v>6</v>
      </c>
      <c r="V204" s="9" t="n">
        <v>10</v>
      </c>
      <c r="W204" s="10" t="s">
        <v>52</v>
      </c>
      <c r="X204" s="10" t="s">
        <v>782</v>
      </c>
      <c r="Y204" s="10" t="s">
        <v>783</v>
      </c>
    </row>
    <row r="205" customFormat="false" ht="21.75" hidden="false" customHeight="true" outlineLevel="0" collapsed="false">
      <c r="B205" s="7" t="n">
        <v>201</v>
      </c>
      <c r="C205" s="7" t="s">
        <v>784</v>
      </c>
      <c r="D205" s="7" t="s">
        <v>785</v>
      </c>
      <c r="E205" s="7" t="s">
        <v>76</v>
      </c>
      <c r="F205" s="7" t="s">
        <v>77</v>
      </c>
      <c r="G205" s="7" t="s">
        <v>61</v>
      </c>
      <c r="H205" s="7" t="n">
        <v>5.7</v>
      </c>
      <c r="I205" s="7" t="n">
        <v>7</v>
      </c>
      <c r="J205" s="7" t="n">
        <v>5</v>
      </c>
      <c r="K205" s="7" t="n">
        <v>4</v>
      </c>
      <c r="L205" s="7" t="n">
        <v>5</v>
      </c>
      <c r="M205" s="7" t="n">
        <v>6</v>
      </c>
      <c r="N205" s="7" t="n">
        <v>8</v>
      </c>
      <c r="O205" s="7" t="n">
        <v>5</v>
      </c>
      <c r="P205" s="7" t="n">
        <v>5</v>
      </c>
      <c r="Q205" s="7" t="n">
        <v>6</v>
      </c>
      <c r="R205" s="7" t="n">
        <v>4</v>
      </c>
      <c r="S205" s="8" t="s">
        <v>56</v>
      </c>
      <c r="T205" s="8" t="s">
        <v>56</v>
      </c>
      <c r="U205" s="7" t="n">
        <v>30</v>
      </c>
      <c r="V205" s="7" t="n">
        <v>45</v>
      </c>
      <c r="W205" s="8" t="s">
        <v>57</v>
      </c>
      <c r="X205" s="8" t="s">
        <v>786</v>
      </c>
      <c r="Y205" s="8" t="s">
        <v>787</v>
      </c>
    </row>
    <row r="206" customFormat="false" ht="21.75" hidden="false" customHeight="true" outlineLevel="0" collapsed="false">
      <c r="B206" s="9" t="n">
        <v>202</v>
      </c>
      <c r="C206" s="9" t="s">
        <v>788</v>
      </c>
      <c r="D206" s="9" t="s">
        <v>789</v>
      </c>
      <c r="E206" s="9" t="s">
        <v>89</v>
      </c>
      <c r="F206" s="9" t="s">
        <v>90</v>
      </c>
      <c r="G206" s="9" t="s">
        <v>61</v>
      </c>
      <c r="H206" s="9" t="n">
        <v>5.65</v>
      </c>
      <c r="I206" s="9" t="n">
        <v>4</v>
      </c>
      <c r="J206" s="9" t="n">
        <v>6</v>
      </c>
      <c r="K206" s="9" t="n">
        <v>4</v>
      </c>
      <c r="L206" s="9" t="n">
        <v>8</v>
      </c>
      <c r="M206" s="9" t="n">
        <v>5</v>
      </c>
      <c r="N206" s="9" t="n">
        <v>7</v>
      </c>
      <c r="O206" s="9" t="n">
        <v>6</v>
      </c>
      <c r="P206" s="9" t="n">
        <v>7</v>
      </c>
      <c r="Q206" s="9" t="n">
        <v>6</v>
      </c>
      <c r="R206" s="9" t="n">
        <v>4</v>
      </c>
      <c r="S206" s="10" t="s">
        <v>56</v>
      </c>
      <c r="T206" s="10" t="s">
        <v>56</v>
      </c>
      <c r="U206" s="9" t="n">
        <v>20</v>
      </c>
      <c r="V206" s="9" t="n">
        <v>10</v>
      </c>
      <c r="W206" s="10" t="s">
        <v>52</v>
      </c>
      <c r="X206" s="10" t="s">
        <v>790</v>
      </c>
      <c r="Y206" s="10" t="s">
        <v>791</v>
      </c>
    </row>
    <row r="207" customFormat="false" ht="21.75" hidden="false" customHeight="true" outlineLevel="0" collapsed="false">
      <c r="B207" s="7" t="n">
        <v>203</v>
      </c>
      <c r="C207" s="7" t="s">
        <v>792</v>
      </c>
      <c r="D207" s="7" t="s">
        <v>793</v>
      </c>
      <c r="E207" s="7" t="s">
        <v>94</v>
      </c>
      <c r="F207" s="7" t="s">
        <v>95</v>
      </c>
      <c r="G207" s="7" t="s">
        <v>61</v>
      </c>
      <c r="H207" s="7" t="n">
        <v>5.65</v>
      </c>
      <c r="I207" s="7" t="n">
        <v>6</v>
      </c>
      <c r="J207" s="7" t="n">
        <v>5</v>
      </c>
      <c r="K207" s="7" t="n">
        <v>4</v>
      </c>
      <c r="L207" s="7" t="n">
        <v>6</v>
      </c>
      <c r="M207" s="7" t="n">
        <v>5</v>
      </c>
      <c r="N207" s="7" t="n">
        <v>8</v>
      </c>
      <c r="O207" s="7" t="n">
        <v>6</v>
      </c>
      <c r="P207" s="7" t="n">
        <v>6</v>
      </c>
      <c r="Q207" s="7" t="n">
        <v>6</v>
      </c>
      <c r="R207" s="7" t="n">
        <v>4</v>
      </c>
      <c r="S207" s="8" t="s">
        <v>56</v>
      </c>
      <c r="T207" s="8" t="s">
        <v>56</v>
      </c>
      <c r="U207" s="7" t="n">
        <v>20</v>
      </c>
      <c r="V207" s="7" t="n">
        <v>45</v>
      </c>
      <c r="W207" s="8" t="s">
        <v>57</v>
      </c>
      <c r="X207" s="8" t="s">
        <v>794</v>
      </c>
      <c r="Y207" s="8" t="s">
        <v>795</v>
      </c>
    </row>
    <row r="208" customFormat="false" ht="21.75" hidden="false" customHeight="true" outlineLevel="0" collapsed="false">
      <c r="B208" s="9" t="n">
        <v>204</v>
      </c>
      <c r="C208" s="9" t="s">
        <v>796</v>
      </c>
      <c r="D208" s="9" t="s">
        <v>797</v>
      </c>
      <c r="E208" s="9" t="s">
        <v>350</v>
      </c>
      <c r="F208" s="9" t="s">
        <v>350</v>
      </c>
      <c r="G208" s="9" t="s">
        <v>61</v>
      </c>
      <c r="H208" s="9" t="n">
        <v>5.65</v>
      </c>
      <c r="I208" s="9" t="n">
        <v>6</v>
      </c>
      <c r="J208" s="9" t="n">
        <v>3</v>
      </c>
      <c r="K208" s="9" t="n">
        <v>5</v>
      </c>
      <c r="L208" s="9" t="n">
        <v>10</v>
      </c>
      <c r="M208" s="9" t="n">
        <v>2</v>
      </c>
      <c r="N208" s="9" t="n">
        <v>8</v>
      </c>
      <c r="O208" s="9" t="n">
        <v>2</v>
      </c>
      <c r="P208" s="9" t="n">
        <v>10</v>
      </c>
      <c r="Q208" s="9" t="n">
        <v>6</v>
      </c>
      <c r="R208" s="9" t="n">
        <v>2</v>
      </c>
      <c r="S208" s="10" t="s">
        <v>123</v>
      </c>
      <c r="T208" s="10" t="s">
        <v>51</v>
      </c>
      <c r="U208" s="9" t="n">
        <v>6</v>
      </c>
      <c r="V208" s="9" t="n">
        <v>10</v>
      </c>
      <c r="W208" s="10" t="s">
        <v>52</v>
      </c>
      <c r="X208" s="10" t="s">
        <v>798</v>
      </c>
      <c r="Y208" s="10" t="s">
        <v>799</v>
      </c>
    </row>
    <row r="209" customFormat="false" ht="21.75" hidden="false" customHeight="true" outlineLevel="0" collapsed="false">
      <c r="B209" s="7" t="n">
        <v>205</v>
      </c>
      <c r="C209" s="7" t="s">
        <v>800</v>
      </c>
      <c r="D209" s="7" t="s">
        <v>801</v>
      </c>
      <c r="E209" s="7" t="s">
        <v>76</v>
      </c>
      <c r="F209" s="7" t="s">
        <v>77</v>
      </c>
      <c r="G209" s="7" t="s">
        <v>61</v>
      </c>
      <c r="H209" s="7" t="n">
        <v>5.65</v>
      </c>
      <c r="I209" s="7" t="n">
        <v>5</v>
      </c>
      <c r="J209" s="7" t="n">
        <v>3</v>
      </c>
      <c r="K209" s="7" t="n">
        <v>3</v>
      </c>
      <c r="L209" s="7" t="n">
        <v>10</v>
      </c>
      <c r="M209" s="7" t="n">
        <v>3</v>
      </c>
      <c r="N209" s="7" t="n">
        <v>8</v>
      </c>
      <c r="O209" s="7" t="n">
        <v>6</v>
      </c>
      <c r="P209" s="7" t="n">
        <v>10</v>
      </c>
      <c r="Q209" s="7" t="n">
        <v>6</v>
      </c>
      <c r="R209" s="7" t="n">
        <v>4</v>
      </c>
      <c r="S209" s="8" t="s">
        <v>123</v>
      </c>
      <c r="T209" s="8" t="s">
        <v>51</v>
      </c>
      <c r="U209" s="7" t="n">
        <v>8</v>
      </c>
      <c r="V209" s="7" t="n">
        <v>10</v>
      </c>
      <c r="W209" s="8" t="s">
        <v>52</v>
      </c>
      <c r="X209" s="8" t="s">
        <v>802</v>
      </c>
      <c r="Y209" s="8" t="s">
        <v>803</v>
      </c>
    </row>
    <row r="210" customFormat="false" ht="21.75" hidden="false" customHeight="true" outlineLevel="0" collapsed="false">
      <c r="B210" s="9" t="n">
        <v>206</v>
      </c>
      <c r="C210" s="9" t="s">
        <v>804</v>
      </c>
      <c r="D210" s="9" t="s">
        <v>805</v>
      </c>
      <c r="E210" s="9" t="s">
        <v>89</v>
      </c>
      <c r="F210" s="9" t="s">
        <v>90</v>
      </c>
      <c r="G210" s="9" t="s">
        <v>61</v>
      </c>
      <c r="H210" s="9" t="n">
        <v>5.6</v>
      </c>
      <c r="I210" s="9" t="n">
        <v>3</v>
      </c>
      <c r="J210" s="9" t="n">
        <v>6</v>
      </c>
      <c r="K210" s="9" t="n">
        <v>3</v>
      </c>
      <c r="L210" s="9" t="n">
        <v>9</v>
      </c>
      <c r="M210" s="9" t="n">
        <v>5</v>
      </c>
      <c r="N210" s="9" t="n">
        <v>7</v>
      </c>
      <c r="O210" s="9" t="n">
        <v>7</v>
      </c>
      <c r="P210" s="9" t="n">
        <v>8</v>
      </c>
      <c r="Q210" s="9" t="n">
        <v>6</v>
      </c>
      <c r="R210" s="9" t="n">
        <v>4</v>
      </c>
      <c r="S210" s="10" t="s">
        <v>56</v>
      </c>
      <c r="T210" s="10" t="s">
        <v>56</v>
      </c>
      <c r="U210" s="9" t="n">
        <v>18</v>
      </c>
      <c r="V210" s="9" t="n">
        <v>10</v>
      </c>
      <c r="W210" s="10" t="s">
        <v>52</v>
      </c>
      <c r="X210" s="10" t="s">
        <v>806</v>
      </c>
      <c r="Y210" s="10" t="s">
        <v>807</v>
      </c>
    </row>
    <row r="211" customFormat="false" ht="21.75" hidden="false" customHeight="true" outlineLevel="0" collapsed="false">
      <c r="B211" s="7" t="n">
        <v>207</v>
      </c>
      <c r="C211" s="7" t="s">
        <v>808</v>
      </c>
      <c r="D211" s="7" t="s">
        <v>809</v>
      </c>
      <c r="E211" s="7" t="s">
        <v>94</v>
      </c>
      <c r="F211" s="7" t="s">
        <v>95</v>
      </c>
      <c r="G211" s="7" t="s">
        <v>61</v>
      </c>
      <c r="H211" s="7" t="n">
        <v>5.6</v>
      </c>
      <c r="I211" s="7" t="n">
        <v>5</v>
      </c>
      <c r="J211" s="7" t="n">
        <v>3</v>
      </c>
      <c r="K211" s="7" t="n">
        <v>4</v>
      </c>
      <c r="L211" s="7" t="n">
        <v>10</v>
      </c>
      <c r="M211" s="7" t="n">
        <v>3</v>
      </c>
      <c r="N211" s="7" t="n">
        <v>8</v>
      </c>
      <c r="O211" s="7" t="n">
        <v>5</v>
      </c>
      <c r="P211" s="7" t="n">
        <v>10</v>
      </c>
      <c r="Q211" s="7" t="n">
        <v>5</v>
      </c>
      <c r="R211" s="7" t="n">
        <v>3</v>
      </c>
      <c r="S211" s="8" t="s">
        <v>123</v>
      </c>
      <c r="T211" s="8" t="s">
        <v>51</v>
      </c>
      <c r="U211" s="7" t="n">
        <v>6</v>
      </c>
      <c r="V211" s="7" t="n">
        <v>10</v>
      </c>
      <c r="W211" s="8" t="s">
        <v>52</v>
      </c>
      <c r="X211" s="8" t="s">
        <v>810</v>
      </c>
      <c r="Y211" s="8" t="s">
        <v>811</v>
      </c>
    </row>
    <row r="212" customFormat="false" ht="21.75" hidden="false" customHeight="true" outlineLevel="0" collapsed="false">
      <c r="B212" s="9" t="n">
        <v>208</v>
      </c>
      <c r="C212" s="9" t="s">
        <v>812</v>
      </c>
      <c r="D212" s="9" t="s">
        <v>813</v>
      </c>
      <c r="E212" s="9" t="s">
        <v>94</v>
      </c>
      <c r="F212" s="9" t="s">
        <v>95</v>
      </c>
      <c r="G212" s="9" t="s">
        <v>61</v>
      </c>
      <c r="H212" s="9" t="n">
        <v>5.55</v>
      </c>
      <c r="I212" s="9" t="n">
        <v>4</v>
      </c>
      <c r="J212" s="9" t="n">
        <v>5</v>
      </c>
      <c r="K212" s="9" t="n">
        <v>3</v>
      </c>
      <c r="L212" s="9" t="n">
        <v>8</v>
      </c>
      <c r="M212" s="9" t="n">
        <v>5</v>
      </c>
      <c r="N212" s="9" t="n">
        <v>7</v>
      </c>
      <c r="O212" s="9" t="n">
        <v>7</v>
      </c>
      <c r="P212" s="9" t="n">
        <v>9</v>
      </c>
      <c r="Q212" s="9" t="n">
        <v>6</v>
      </c>
      <c r="R212" s="9" t="n">
        <v>4</v>
      </c>
      <c r="S212" s="10" t="s">
        <v>56</v>
      </c>
      <c r="T212" s="10" t="s">
        <v>56</v>
      </c>
      <c r="U212" s="9" t="n">
        <v>35</v>
      </c>
      <c r="V212" s="9" t="n">
        <v>10</v>
      </c>
      <c r="W212" s="10" t="s">
        <v>52</v>
      </c>
      <c r="X212" s="10" t="s">
        <v>814</v>
      </c>
      <c r="Y212" s="10" t="s">
        <v>815</v>
      </c>
    </row>
    <row r="213" customFormat="false" ht="21.75" hidden="false" customHeight="true" outlineLevel="0" collapsed="false">
      <c r="B213" s="7" t="n">
        <v>209</v>
      </c>
      <c r="C213" s="7" t="s">
        <v>816</v>
      </c>
      <c r="D213" s="7" t="s">
        <v>817</v>
      </c>
      <c r="E213" s="7" t="s">
        <v>305</v>
      </c>
      <c r="F213" s="7" t="s">
        <v>305</v>
      </c>
      <c r="G213" s="7" t="s">
        <v>61</v>
      </c>
      <c r="H213" s="7" t="n">
        <v>5.5</v>
      </c>
      <c r="I213" s="7" t="n">
        <v>5</v>
      </c>
      <c r="J213" s="7" t="n">
        <v>3</v>
      </c>
      <c r="K213" s="7" t="n">
        <v>3</v>
      </c>
      <c r="L213" s="7" t="n">
        <v>10</v>
      </c>
      <c r="M213" s="7" t="n">
        <v>3</v>
      </c>
      <c r="N213" s="7" t="n">
        <v>9</v>
      </c>
      <c r="O213" s="7" t="n">
        <v>4</v>
      </c>
      <c r="P213" s="7" t="n">
        <v>10</v>
      </c>
      <c r="Q213" s="7" t="n">
        <v>5</v>
      </c>
      <c r="R213" s="7" t="n">
        <v>2</v>
      </c>
      <c r="S213" s="8" t="s">
        <v>50</v>
      </c>
      <c r="T213" s="8" t="s">
        <v>51</v>
      </c>
      <c r="U213" s="7" t="n">
        <v>10</v>
      </c>
      <c r="V213" s="7" t="n">
        <v>10</v>
      </c>
      <c r="W213" s="8" t="s">
        <v>52</v>
      </c>
      <c r="X213" s="8" t="s">
        <v>818</v>
      </c>
      <c r="Y213" s="8" t="s">
        <v>819</v>
      </c>
    </row>
    <row r="214" customFormat="false" ht="21.75" hidden="false" customHeight="true" outlineLevel="0" collapsed="false">
      <c r="B214" s="9" t="n">
        <v>210</v>
      </c>
      <c r="C214" s="9" t="s">
        <v>820</v>
      </c>
      <c r="D214" s="9" t="s">
        <v>821</v>
      </c>
      <c r="E214" s="9" t="s">
        <v>76</v>
      </c>
      <c r="F214" s="9" t="s">
        <v>77</v>
      </c>
      <c r="G214" s="9" t="s">
        <v>61</v>
      </c>
      <c r="H214" s="9" t="n">
        <v>5.5</v>
      </c>
      <c r="I214" s="9" t="n">
        <v>5</v>
      </c>
      <c r="J214" s="9" t="n">
        <v>3</v>
      </c>
      <c r="K214" s="9" t="n">
        <v>5</v>
      </c>
      <c r="L214" s="9" t="n">
        <v>9</v>
      </c>
      <c r="M214" s="9" t="n">
        <v>3</v>
      </c>
      <c r="N214" s="9" t="n">
        <v>7</v>
      </c>
      <c r="O214" s="9" t="n">
        <v>6</v>
      </c>
      <c r="P214" s="9" t="n">
        <v>9</v>
      </c>
      <c r="Q214" s="9" t="n">
        <v>6</v>
      </c>
      <c r="R214" s="9" t="n">
        <v>3</v>
      </c>
      <c r="S214" s="10" t="s">
        <v>123</v>
      </c>
      <c r="T214" s="10" t="s">
        <v>51</v>
      </c>
      <c r="U214" s="9" t="n">
        <v>15</v>
      </c>
      <c r="V214" s="9" t="n">
        <v>10</v>
      </c>
      <c r="W214" s="10" t="s">
        <v>52</v>
      </c>
      <c r="X214" s="10" t="s">
        <v>822</v>
      </c>
      <c r="Y214" s="10" t="s">
        <v>823</v>
      </c>
    </row>
    <row r="215" customFormat="false" ht="21.75" hidden="false" customHeight="true" outlineLevel="0" collapsed="false">
      <c r="B215" s="7" t="n">
        <v>211</v>
      </c>
      <c r="C215" s="7" t="s">
        <v>824</v>
      </c>
      <c r="D215" s="7" t="s">
        <v>825</v>
      </c>
      <c r="E215" s="7" t="s">
        <v>76</v>
      </c>
      <c r="F215" s="7" t="s">
        <v>77</v>
      </c>
      <c r="G215" s="7" t="s">
        <v>61</v>
      </c>
      <c r="H215" s="7" t="n">
        <v>5.5</v>
      </c>
      <c r="I215" s="7" t="n">
        <v>4</v>
      </c>
      <c r="J215" s="7" t="n">
        <v>5</v>
      </c>
      <c r="K215" s="7" t="n">
        <v>4</v>
      </c>
      <c r="L215" s="7" t="n">
        <v>7</v>
      </c>
      <c r="M215" s="7" t="n">
        <v>4</v>
      </c>
      <c r="N215" s="7" t="n">
        <v>7</v>
      </c>
      <c r="O215" s="7" t="n">
        <v>8</v>
      </c>
      <c r="P215" s="7" t="n">
        <v>8</v>
      </c>
      <c r="Q215" s="7" t="n">
        <v>7</v>
      </c>
      <c r="R215" s="7" t="n">
        <v>5</v>
      </c>
      <c r="S215" s="8" t="s">
        <v>123</v>
      </c>
      <c r="T215" s="8" t="s">
        <v>51</v>
      </c>
      <c r="U215" s="7" t="n">
        <v>20</v>
      </c>
      <c r="V215" s="7" t="n">
        <v>25</v>
      </c>
      <c r="W215" s="8" t="s">
        <v>57</v>
      </c>
      <c r="X215" s="8" t="s">
        <v>826</v>
      </c>
      <c r="Y215" s="8" t="s">
        <v>827</v>
      </c>
    </row>
    <row r="216" customFormat="false" ht="21.75" hidden="false" customHeight="true" outlineLevel="0" collapsed="false">
      <c r="B216" s="9" t="n">
        <v>212</v>
      </c>
      <c r="C216" s="9" t="s">
        <v>828</v>
      </c>
      <c r="D216" s="9" t="s">
        <v>829</v>
      </c>
      <c r="E216" s="9" t="s">
        <v>76</v>
      </c>
      <c r="F216" s="9" t="s">
        <v>77</v>
      </c>
      <c r="G216" s="9" t="s">
        <v>61</v>
      </c>
      <c r="H216" s="9" t="n">
        <v>5.45</v>
      </c>
      <c r="I216" s="9" t="n">
        <v>4</v>
      </c>
      <c r="J216" s="9" t="n">
        <v>4</v>
      </c>
      <c r="K216" s="9" t="n">
        <v>3</v>
      </c>
      <c r="L216" s="9" t="n">
        <v>10</v>
      </c>
      <c r="M216" s="9" t="n">
        <v>3</v>
      </c>
      <c r="N216" s="9" t="n">
        <v>7</v>
      </c>
      <c r="O216" s="9" t="n">
        <v>6</v>
      </c>
      <c r="P216" s="9" t="n">
        <v>10</v>
      </c>
      <c r="Q216" s="9" t="n">
        <v>6</v>
      </c>
      <c r="R216" s="9" t="n">
        <v>3</v>
      </c>
      <c r="S216" s="10" t="s">
        <v>123</v>
      </c>
      <c r="T216" s="10" t="s">
        <v>51</v>
      </c>
      <c r="U216" s="9" t="n">
        <v>10</v>
      </c>
      <c r="V216" s="9" t="n">
        <v>10</v>
      </c>
      <c r="W216" s="10" t="s">
        <v>52</v>
      </c>
      <c r="X216" s="10" t="s">
        <v>830</v>
      </c>
      <c r="Y216" s="10" t="s">
        <v>831</v>
      </c>
    </row>
    <row r="217" customFormat="false" ht="21.75" hidden="false" customHeight="true" outlineLevel="0" collapsed="false">
      <c r="B217" s="7" t="n">
        <v>213</v>
      </c>
      <c r="C217" s="7" t="s">
        <v>832</v>
      </c>
      <c r="D217" s="7" t="s">
        <v>833</v>
      </c>
      <c r="E217" s="7" t="s">
        <v>76</v>
      </c>
      <c r="F217" s="7" t="s">
        <v>77</v>
      </c>
      <c r="G217" s="7" t="s">
        <v>61</v>
      </c>
      <c r="H217" s="7" t="n">
        <v>5.45</v>
      </c>
      <c r="I217" s="7" t="n">
        <v>3</v>
      </c>
      <c r="J217" s="7" t="n">
        <v>6</v>
      </c>
      <c r="K217" s="7" t="n">
        <v>4</v>
      </c>
      <c r="L217" s="7" t="n">
        <v>8</v>
      </c>
      <c r="M217" s="7" t="n">
        <v>4</v>
      </c>
      <c r="N217" s="7" t="n">
        <v>6</v>
      </c>
      <c r="O217" s="7" t="n">
        <v>8</v>
      </c>
      <c r="P217" s="7" t="n">
        <v>7</v>
      </c>
      <c r="Q217" s="7" t="n">
        <v>7</v>
      </c>
      <c r="R217" s="7" t="n">
        <v>5</v>
      </c>
      <c r="S217" s="8" t="s">
        <v>123</v>
      </c>
      <c r="T217" s="8" t="s">
        <v>51</v>
      </c>
      <c r="U217" s="7" t="n">
        <v>30</v>
      </c>
      <c r="V217" s="7" t="n">
        <v>25</v>
      </c>
      <c r="W217" s="8" t="s">
        <v>57</v>
      </c>
      <c r="X217" s="8" t="s">
        <v>834</v>
      </c>
      <c r="Y217" s="8" t="s">
        <v>835</v>
      </c>
    </row>
    <row r="218" customFormat="false" ht="21.75" hidden="false" customHeight="true" outlineLevel="0" collapsed="false">
      <c r="B218" s="9" t="n">
        <v>214</v>
      </c>
      <c r="C218" s="9" t="s">
        <v>836</v>
      </c>
      <c r="D218" s="9" t="s">
        <v>837</v>
      </c>
      <c r="E218" s="9" t="s">
        <v>305</v>
      </c>
      <c r="F218" s="9" t="s">
        <v>305</v>
      </c>
      <c r="G218" s="9" t="s">
        <v>61</v>
      </c>
      <c r="H218" s="9" t="n">
        <v>5.4</v>
      </c>
      <c r="I218" s="9" t="n">
        <v>5</v>
      </c>
      <c r="J218" s="9" t="n">
        <v>3</v>
      </c>
      <c r="K218" s="9" t="n">
        <v>3</v>
      </c>
      <c r="L218" s="9" t="n">
        <v>10</v>
      </c>
      <c r="M218" s="9" t="n">
        <v>3</v>
      </c>
      <c r="N218" s="9" t="n">
        <v>8</v>
      </c>
      <c r="O218" s="9" t="n">
        <v>5</v>
      </c>
      <c r="P218" s="9" t="n">
        <v>9</v>
      </c>
      <c r="Q218" s="9" t="n">
        <v>5</v>
      </c>
      <c r="R218" s="9" t="n">
        <v>2</v>
      </c>
      <c r="S218" s="10" t="s">
        <v>123</v>
      </c>
      <c r="T218" s="10" t="s">
        <v>51</v>
      </c>
      <c r="U218" s="9" t="n">
        <v>8</v>
      </c>
      <c r="V218" s="9" t="n">
        <v>10</v>
      </c>
      <c r="W218" s="10" t="s">
        <v>52</v>
      </c>
      <c r="X218" s="10" t="s">
        <v>838</v>
      </c>
      <c r="Y218" s="10" t="s">
        <v>839</v>
      </c>
    </row>
    <row r="219" customFormat="false" ht="21.75" hidden="false" customHeight="true" outlineLevel="0" collapsed="false">
      <c r="B219" s="7" t="n">
        <v>215</v>
      </c>
      <c r="C219" s="7" t="s">
        <v>840</v>
      </c>
      <c r="D219" s="7" t="s">
        <v>841</v>
      </c>
      <c r="E219" s="7" t="s">
        <v>76</v>
      </c>
      <c r="F219" s="7" t="s">
        <v>77</v>
      </c>
      <c r="G219" s="7" t="s">
        <v>61</v>
      </c>
      <c r="H219" s="7" t="n">
        <v>5.4</v>
      </c>
      <c r="I219" s="7" t="n">
        <v>3</v>
      </c>
      <c r="J219" s="7" t="n">
        <v>5</v>
      </c>
      <c r="K219" s="7" t="n">
        <v>3</v>
      </c>
      <c r="L219" s="7" t="n">
        <v>9</v>
      </c>
      <c r="M219" s="7" t="n">
        <v>4</v>
      </c>
      <c r="N219" s="7" t="n">
        <v>6</v>
      </c>
      <c r="O219" s="7" t="n">
        <v>8</v>
      </c>
      <c r="P219" s="7" t="n">
        <v>10</v>
      </c>
      <c r="Q219" s="7" t="n">
        <v>6</v>
      </c>
      <c r="R219" s="7" t="n">
        <v>4</v>
      </c>
      <c r="S219" s="8" t="s">
        <v>123</v>
      </c>
      <c r="T219" s="8" t="s">
        <v>51</v>
      </c>
      <c r="U219" s="7" t="n">
        <v>25</v>
      </c>
      <c r="V219" s="7" t="n">
        <v>10</v>
      </c>
      <c r="W219" s="8" t="s">
        <v>52</v>
      </c>
      <c r="X219" s="8" t="s">
        <v>842</v>
      </c>
      <c r="Y219" s="8" t="s">
        <v>843</v>
      </c>
    </row>
    <row r="220" customFormat="false" ht="21.75" hidden="false" customHeight="true" outlineLevel="0" collapsed="false">
      <c r="B220" s="9" t="n">
        <v>216</v>
      </c>
      <c r="C220" s="9" t="s">
        <v>844</v>
      </c>
      <c r="D220" s="9" t="s">
        <v>845</v>
      </c>
      <c r="E220" s="9" t="s">
        <v>76</v>
      </c>
      <c r="F220" s="9" t="s">
        <v>77</v>
      </c>
      <c r="G220" s="9" t="s">
        <v>61</v>
      </c>
      <c r="H220" s="9" t="n">
        <v>5.4</v>
      </c>
      <c r="I220" s="9" t="n">
        <v>5</v>
      </c>
      <c r="J220" s="9" t="n">
        <v>4</v>
      </c>
      <c r="K220" s="9" t="n">
        <v>3</v>
      </c>
      <c r="L220" s="9" t="n">
        <v>8</v>
      </c>
      <c r="M220" s="9" t="n">
        <v>5</v>
      </c>
      <c r="N220" s="9" t="n">
        <v>7</v>
      </c>
      <c r="O220" s="9" t="n">
        <v>6</v>
      </c>
      <c r="P220" s="9" t="n">
        <v>7</v>
      </c>
      <c r="Q220" s="9" t="n">
        <v>6</v>
      </c>
      <c r="R220" s="9" t="n">
        <v>3</v>
      </c>
      <c r="S220" s="10" t="s">
        <v>56</v>
      </c>
      <c r="T220" s="10" t="s">
        <v>51</v>
      </c>
      <c r="U220" s="9" t="n">
        <v>40</v>
      </c>
      <c r="V220" s="9" t="n">
        <v>30</v>
      </c>
      <c r="W220" s="10" t="s">
        <v>52</v>
      </c>
      <c r="X220" s="10" t="s">
        <v>846</v>
      </c>
      <c r="Y220" s="10" t="s">
        <v>847</v>
      </c>
    </row>
    <row r="221" customFormat="false" ht="21.75" hidden="false" customHeight="true" outlineLevel="0" collapsed="false">
      <c r="B221" s="7" t="n">
        <v>217</v>
      </c>
      <c r="C221" s="7" t="s">
        <v>848</v>
      </c>
      <c r="D221" s="7" t="s">
        <v>849</v>
      </c>
      <c r="E221" s="7" t="s">
        <v>76</v>
      </c>
      <c r="F221" s="7" t="s">
        <v>77</v>
      </c>
      <c r="G221" s="7" t="s">
        <v>61</v>
      </c>
      <c r="H221" s="7" t="n">
        <v>5.4</v>
      </c>
      <c r="I221" s="7" t="n">
        <v>4</v>
      </c>
      <c r="J221" s="7" t="n">
        <v>5</v>
      </c>
      <c r="K221" s="7" t="n">
        <v>2</v>
      </c>
      <c r="L221" s="7" t="n">
        <v>8</v>
      </c>
      <c r="M221" s="7" t="n">
        <v>5</v>
      </c>
      <c r="N221" s="7" t="n">
        <v>7</v>
      </c>
      <c r="O221" s="7" t="n">
        <v>6</v>
      </c>
      <c r="P221" s="7" t="n">
        <v>6</v>
      </c>
      <c r="Q221" s="7" t="n">
        <v>8</v>
      </c>
      <c r="R221" s="7" t="n">
        <v>5</v>
      </c>
      <c r="S221" s="8" t="s">
        <v>56</v>
      </c>
      <c r="T221" s="8" t="s">
        <v>72</v>
      </c>
      <c r="U221" s="7" t="n">
        <v>35</v>
      </c>
      <c r="V221" s="7" t="n">
        <v>30</v>
      </c>
      <c r="W221" s="8" t="s">
        <v>52</v>
      </c>
      <c r="X221" s="8" t="s">
        <v>850</v>
      </c>
      <c r="Y221" s="8" t="s">
        <v>851</v>
      </c>
    </row>
    <row r="222" customFormat="false" ht="21.75" hidden="false" customHeight="true" outlineLevel="0" collapsed="false">
      <c r="B222" s="9" t="n">
        <v>218</v>
      </c>
      <c r="C222" s="9" t="s">
        <v>852</v>
      </c>
      <c r="D222" s="9" t="s">
        <v>853</v>
      </c>
      <c r="E222" s="9" t="s">
        <v>89</v>
      </c>
      <c r="F222" s="9" t="s">
        <v>90</v>
      </c>
      <c r="G222" s="9" t="s">
        <v>61</v>
      </c>
      <c r="H222" s="9" t="n">
        <v>5.35</v>
      </c>
      <c r="I222" s="9" t="n">
        <v>4</v>
      </c>
      <c r="J222" s="9" t="n">
        <v>3</v>
      </c>
      <c r="K222" s="9" t="n">
        <v>4</v>
      </c>
      <c r="L222" s="9" t="n">
        <v>10</v>
      </c>
      <c r="M222" s="9" t="n">
        <v>3</v>
      </c>
      <c r="N222" s="9" t="n">
        <v>8</v>
      </c>
      <c r="O222" s="9" t="n">
        <v>5</v>
      </c>
      <c r="P222" s="9" t="n">
        <v>10</v>
      </c>
      <c r="Q222" s="9" t="n">
        <v>5</v>
      </c>
      <c r="R222" s="9" t="n">
        <v>2</v>
      </c>
      <c r="S222" s="10" t="s">
        <v>123</v>
      </c>
      <c r="T222" s="10" t="s">
        <v>51</v>
      </c>
      <c r="U222" s="9" t="n">
        <v>5</v>
      </c>
      <c r="V222" s="9" t="n">
        <v>10</v>
      </c>
      <c r="W222" s="10" t="s">
        <v>52</v>
      </c>
      <c r="X222" s="10" t="s">
        <v>854</v>
      </c>
      <c r="Y222" s="10" t="s">
        <v>855</v>
      </c>
    </row>
    <row r="223" customFormat="false" ht="21.75" hidden="false" customHeight="true" outlineLevel="0" collapsed="false">
      <c r="B223" s="7" t="n">
        <v>219</v>
      </c>
      <c r="C223" s="7" t="s">
        <v>856</v>
      </c>
      <c r="D223" s="7" t="s">
        <v>857</v>
      </c>
      <c r="E223" s="7" t="s">
        <v>350</v>
      </c>
      <c r="F223" s="7" t="s">
        <v>350</v>
      </c>
      <c r="G223" s="7" t="s">
        <v>61</v>
      </c>
      <c r="H223" s="7" t="n">
        <v>5.35</v>
      </c>
      <c r="I223" s="7" t="n">
        <v>5</v>
      </c>
      <c r="J223" s="7" t="n">
        <v>3</v>
      </c>
      <c r="K223" s="7" t="n">
        <v>4</v>
      </c>
      <c r="L223" s="7" t="n">
        <v>10</v>
      </c>
      <c r="M223" s="7" t="n">
        <v>2</v>
      </c>
      <c r="N223" s="7" t="n">
        <v>8</v>
      </c>
      <c r="O223" s="7" t="n">
        <v>5</v>
      </c>
      <c r="P223" s="7" t="n">
        <v>10</v>
      </c>
      <c r="Q223" s="7" t="n">
        <v>4</v>
      </c>
      <c r="R223" s="7" t="n">
        <v>1</v>
      </c>
      <c r="S223" s="8" t="s">
        <v>123</v>
      </c>
      <c r="T223" s="8" t="s">
        <v>51</v>
      </c>
      <c r="U223" s="7" t="n">
        <v>3</v>
      </c>
      <c r="V223" s="7" t="n">
        <v>10</v>
      </c>
      <c r="W223" s="8" t="s">
        <v>52</v>
      </c>
      <c r="X223" s="8" t="s">
        <v>858</v>
      </c>
      <c r="Y223" s="8" t="s">
        <v>859</v>
      </c>
    </row>
    <row r="224" customFormat="false" ht="21.75" hidden="false" customHeight="true" outlineLevel="0" collapsed="false">
      <c r="B224" s="9" t="n">
        <v>220</v>
      </c>
      <c r="C224" s="9" t="s">
        <v>860</v>
      </c>
      <c r="D224" s="9" t="s">
        <v>861</v>
      </c>
      <c r="E224" s="9" t="s">
        <v>76</v>
      </c>
      <c r="F224" s="9" t="s">
        <v>77</v>
      </c>
      <c r="G224" s="9" t="s">
        <v>61</v>
      </c>
      <c r="H224" s="9" t="n">
        <v>5.35</v>
      </c>
      <c r="I224" s="9" t="n">
        <v>3</v>
      </c>
      <c r="J224" s="9" t="n">
        <v>4</v>
      </c>
      <c r="K224" s="9" t="n">
        <v>3</v>
      </c>
      <c r="L224" s="9" t="n">
        <v>10</v>
      </c>
      <c r="M224" s="9" t="n">
        <v>4</v>
      </c>
      <c r="N224" s="9" t="n">
        <v>6</v>
      </c>
      <c r="O224" s="9" t="n">
        <v>8</v>
      </c>
      <c r="P224" s="9" t="n">
        <v>10</v>
      </c>
      <c r="Q224" s="9" t="n">
        <v>6</v>
      </c>
      <c r="R224" s="9" t="n">
        <v>3</v>
      </c>
      <c r="S224" s="10" t="s">
        <v>123</v>
      </c>
      <c r="T224" s="10" t="s">
        <v>51</v>
      </c>
      <c r="U224" s="9" t="n">
        <v>8</v>
      </c>
      <c r="V224" s="9" t="n">
        <v>10</v>
      </c>
      <c r="W224" s="10" t="s">
        <v>52</v>
      </c>
      <c r="X224" s="10" t="s">
        <v>862</v>
      </c>
      <c r="Y224" s="10" t="s">
        <v>863</v>
      </c>
    </row>
    <row r="225" customFormat="false" ht="21.75" hidden="false" customHeight="true" outlineLevel="0" collapsed="false">
      <c r="B225" s="7" t="n">
        <v>221</v>
      </c>
      <c r="C225" s="7" t="s">
        <v>864</v>
      </c>
      <c r="D225" s="7" t="s">
        <v>865</v>
      </c>
      <c r="E225" s="7" t="s">
        <v>76</v>
      </c>
      <c r="F225" s="7" t="s">
        <v>77</v>
      </c>
      <c r="G225" s="7" t="s">
        <v>61</v>
      </c>
      <c r="H225" s="7" t="n">
        <v>5.35</v>
      </c>
      <c r="I225" s="7" t="n">
        <v>3</v>
      </c>
      <c r="J225" s="7" t="n">
        <v>5</v>
      </c>
      <c r="K225" s="7" t="n">
        <v>5</v>
      </c>
      <c r="L225" s="7" t="n">
        <v>8</v>
      </c>
      <c r="M225" s="7" t="n">
        <v>4</v>
      </c>
      <c r="N225" s="7" t="n">
        <v>6</v>
      </c>
      <c r="O225" s="7" t="n">
        <v>8</v>
      </c>
      <c r="P225" s="7" t="n">
        <v>6</v>
      </c>
      <c r="Q225" s="7" t="n">
        <v>7</v>
      </c>
      <c r="R225" s="7" t="n">
        <v>5</v>
      </c>
      <c r="S225" s="8" t="s">
        <v>56</v>
      </c>
      <c r="T225" s="8" t="s">
        <v>51</v>
      </c>
      <c r="U225" s="7" t="n">
        <v>35</v>
      </c>
      <c r="V225" s="7" t="n">
        <v>30</v>
      </c>
      <c r="W225" s="8" t="s">
        <v>52</v>
      </c>
      <c r="X225" s="8" t="s">
        <v>866</v>
      </c>
      <c r="Y225" s="8" t="s">
        <v>867</v>
      </c>
    </row>
    <row r="226" customFormat="false" ht="21.75" hidden="false" customHeight="true" outlineLevel="0" collapsed="false">
      <c r="B226" s="9" t="n">
        <v>222</v>
      </c>
      <c r="C226" s="9" t="s">
        <v>868</v>
      </c>
      <c r="D226" s="9" t="s">
        <v>869</v>
      </c>
      <c r="E226" s="9" t="s">
        <v>258</v>
      </c>
      <c r="F226" s="9" t="s">
        <v>259</v>
      </c>
      <c r="G226" s="9" t="s">
        <v>61</v>
      </c>
      <c r="H226" s="9" t="n">
        <v>5.35</v>
      </c>
      <c r="I226" s="9" t="n">
        <v>4</v>
      </c>
      <c r="J226" s="9" t="n">
        <v>5</v>
      </c>
      <c r="K226" s="9" t="n">
        <v>3</v>
      </c>
      <c r="L226" s="9" t="n">
        <v>8</v>
      </c>
      <c r="M226" s="9" t="n">
        <v>5</v>
      </c>
      <c r="N226" s="9" t="n">
        <v>7</v>
      </c>
      <c r="O226" s="9" t="n">
        <v>6</v>
      </c>
      <c r="P226" s="9" t="n">
        <v>6</v>
      </c>
      <c r="Q226" s="9" t="n">
        <v>6</v>
      </c>
      <c r="R226" s="9" t="n">
        <v>4</v>
      </c>
      <c r="S226" s="10" t="s">
        <v>56</v>
      </c>
      <c r="T226" s="10" t="s">
        <v>72</v>
      </c>
      <c r="U226" s="9" t="n">
        <v>25</v>
      </c>
      <c r="V226" s="9" t="n">
        <v>30</v>
      </c>
      <c r="W226" s="10" t="s">
        <v>52</v>
      </c>
      <c r="X226" s="10" t="s">
        <v>870</v>
      </c>
      <c r="Y226" s="10" t="s">
        <v>871</v>
      </c>
    </row>
    <row r="227" customFormat="false" ht="21.75" hidden="false" customHeight="true" outlineLevel="0" collapsed="false">
      <c r="B227" s="7" t="n">
        <v>223</v>
      </c>
      <c r="C227" s="7" t="s">
        <v>872</v>
      </c>
      <c r="D227" s="7" t="s">
        <v>873</v>
      </c>
      <c r="E227" s="7" t="s">
        <v>94</v>
      </c>
      <c r="F227" s="7" t="s">
        <v>95</v>
      </c>
      <c r="G227" s="7" t="s">
        <v>61</v>
      </c>
      <c r="H227" s="7" t="n">
        <v>5.3</v>
      </c>
      <c r="I227" s="7" t="n">
        <v>5</v>
      </c>
      <c r="J227" s="7" t="n">
        <v>3</v>
      </c>
      <c r="K227" s="7" t="n">
        <v>3</v>
      </c>
      <c r="L227" s="7" t="n">
        <v>10</v>
      </c>
      <c r="M227" s="7" t="n">
        <v>2</v>
      </c>
      <c r="N227" s="7" t="n">
        <v>8</v>
      </c>
      <c r="O227" s="7" t="n">
        <v>5</v>
      </c>
      <c r="P227" s="7" t="n">
        <v>10</v>
      </c>
      <c r="Q227" s="7" t="n">
        <v>4</v>
      </c>
      <c r="R227" s="7" t="n">
        <v>2</v>
      </c>
      <c r="S227" s="8" t="s">
        <v>50</v>
      </c>
      <c r="T227" s="8" t="s">
        <v>51</v>
      </c>
      <c r="U227" s="7" t="n">
        <v>6</v>
      </c>
      <c r="V227" s="7" t="n">
        <v>10</v>
      </c>
      <c r="W227" s="8" t="s">
        <v>52</v>
      </c>
      <c r="X227" s="8" t="s">
        <v>874</v>
      </c>
      <c r="Y227" s="8" t="s">
        <v>875</v>
      </c>
    </row>
    <row r="228" customFormat="false" ht="21.75" hidden="false" customHeight="true" outlineLevel="0" collapsed="false">
      <c r="B228" s="9" t="n">
        <v>224</v>
      </c>
      <c r="C228" s="9" t="s">
        <v>876</v>
      </c>
      <c r="D228" s="9" t="s">
        <v>877</v>
      </c>
      <c r="E228" s="9" t="s">
        <v>94</v>
      </c>
      <c r="F228" s="9" t="s">
        <v>95</v>
      </c>
      <c r="G228" s="9" t="s">
        <v>103</v>
      </c>
      <c r="H228" s="9" t="n">
        <v>5.25</v>
      </c>
      <c r="I228" s="9" t="n">
        <v>6</v>
      </c>
      <c r="J228" s="9" t="n">
        <v>4</v>
      </c>
      <c r="K228" s="9" t="n">
        <v>7</v>
      </c>
      <c r="L228" s="9" t="n">
        <v>6.5</v>
      </c>
      <c r="M228" s="9" t="n">
        <v>2</v>
      </c>
      <c r="N228" s="9" t="n">
        <v>5</v>
      </c>
      <c r="O228" s="9" t="n">
        <v>2</v>
      </c>
      <c r="P228" s="9" t="n">
        <v>7.5</v>
      </c>
      <c r="Q228" s="9" t="n">
        <v>8</v>
      </c>
      <c r="R228" s="9" t="n">
        <v>4</v>
      </c>
      <c r="S228" s="10" t="s">
        <v>123</v>
      </c>
      <c r="T228" s="10" t="s">
        <v>51</v>
      </c>
      <c r="U228" s="9" t="n">
        <v>36</v>
      </c>
      <c r="V228" s="9" t="n">
        <v>30</v>
      </c>
      <c r="W228" s="10" t="s">
        <v>52</v>
      </c>
      <c r="X228" s="10" t="s">
        <v>878</v>
      </c>
      <c r="Y228" s="10" t="s">
        <v>879</v>
      </c>
    </row>
    <row r="229" customFormat="false" ht="21.75" hidden="false" customHeight="true" outlineLevel="0" collapsed="false">
      <c r="B229" s="7" t="n">
        <v>225</v>
      </c>
      <c r="C229" s="7" t="s">
        <v>880</v>
      </c>
      <c r="D229" s="7" t="s">
        <v>881</v>
      </c>
      <c r="E229" s="7" t="s">
        <v>89</v>
      </c>
      <c r="F229" s="7" t="s">
        <v>90</v>
      </c>
      <c r="G229" s="7" t="s">
        <v>61</v>
      </c>
      <c r="H229" s="7" t="n">
        <v>5.25</v>
      </c>
      <c r="I229" s="7" t="n">
        <v>5</v>
      </c>
      <c r="J229" s="7" t="n">
        <v>5</v>
      </c>
      <c r="K229" s="7" t="n">
        <v>3</v>
      </c>
      <c r="L229" s="7" t="n">
        <v>6</v>
      </c>
      <c r="M229" s="7" t="n">
        <v>6</v>
      </c>
      <c r="N229" s="7" t="n">
        <v>7</v>
      </c>
      <c r="O229" s="7" t="n">
        <v>6</v>
      </c>
      <c r="P229" s="7" t="n">
        <v>5</v>
      </c>
      <c r="Q229" s="7" t="n">
        <v>6</v>
      </c>
      <c r="R229" s="7" t="n">
        <v>3</v>
      </c>
      <c r="S229" s="8" t="s">
        <v>56</v>
      </c>
      <c r="T229" s="8" t="s">
        <v>56</v>
      </c>
      <c r="U229" s="7" t="n">
        <v>25</v>
      </c>
      <c r="V229" s="7" t="n">
        <v>45</v>
      </c>
      <c r="W229" s="8" t="s">
        <v>57</v>
      </c>
      <c r="X229" s="8" t="s">
        <v>882</v>
      </c>
      <c r="Y229" s="8" t="s">
        <v>883</v>
      </c>
    </row>
    <row r="230" customFormat="false" ht="21.75" hidden="false" customHeight="true" outlineLevel="0" collapsed="false">
      <c r="B230" s="9" t="n">
        <v>226</v>
      </c>
      <c r="C230" s="9" t="s">
        <v>884</v>
      </c>
      <c r="D230" s="9" t="s">
        <v>885</v>
      </c>
      <c r="E230" s="9" t="s">
        <v>89</v>
      </c>
      <c r="F230" s="9" t="s">
        <v>90</v>
      </c>
      <c r="G230" s="9" t="s">
        <v>61</v>
      </c>
      <c r="H230" s="9" t="n">
        <v>5.25</v>
      </c>
      <c r="I230" s="9" t="n">
        <v>3</v>
      </c>
      <c r="J230" s="9" t="n">
        <v>6</v>
      </c>
      <c r="K230" s="9" t="n">
        <v>4</v>
      </c>
      <c r="L230" s="9" t="n">
        <v>6</v>
      </c>
      <c r="M230" s="9" t="n">
        <v>5</v>
      </c>
      <c r="N230" s="9" t="n">
        <v>6</v>
      </c>
      <c r="O230" s="9" t="n">
        <v>9</v>
      </c>
      <c r="P230" s="9" t="n">
        <v>5</v>
      </c>
      <c r="Q230" s="9" t="n">
        <v>7</v>
      </c>
      <c r="R230" s="9" t="n">
        <v>6</v>
      </c>
      <c r="S230" s="10" t="s">
        <v>55</v>
      </c>
      <c r="T230" s="10" t="s">
        <v>56</v>
      </c>
      <c r="U230" s="9" t="n">
        <v>35</v>
      </c>
      <c r="V230" s="9" t="n">
        <v>45</v>
      </c>
      <c r="W230" s="10" t="s">
        <v>57</v>
      </c>
      <c r="X230" s="10" t="s">
        <v>886</v>
      </c>
      <c r="Y230" s="10" t="s">
        <v>887</v>
      </c>
    </row>
    <row r="231" customFormat="false" ht="21.75" hidden="false" customHeight="true" outlineLevel="0" collapsed="false">
      <c r="B231" s="7" t="n">
        <v>227</v>
      </c>
      <c r="C231" s="7" t="s">
        <v>888</v>
      </c>
      <c r="D231" s="7" t="s">
        <v>889</v>
      </c>
      <c r="E231" s="7" t="s">
        <v>350</v>
      </c>
      <c r="F231" s="7" t="s">
        <v>350</v>
      </c>
      <c r="G231" s="7" t="s">
        <v>61</v>
      </c>
      <c r="H231" s="7" t="n">
        <v>5.25</v>
      </c>
      <c r="I231" s="7" t="n">
        <v>4</v>
      </c>
      <c r="J231" s="7" t="n">
        <v>3</v>
      </c>
      <c r="K231" s="7" t="n">
        <v>4</v>
      </c>
      <c r="L231" s="7" t="n">
        <v>10</v>
      </c>
      <c r="M231" s="7" t="n">
        <v>2</v>
      </c>
      <c r="N231" s="7" t="n">
        <v>8</v>
      </c>
      <c r="O231" s="7" t="n">
        <v>5</v>
      </c>
      <c r="P231" s="7" t="n">
        <v>10</v>
      </c>
      <c r="Q231" s="7" t="n">
        <v>5</v>
      </c>
      <c r="R231" s="7" t="n">
        <v>2</v>
      </c>
      <c r="S231" s="8" t="s">
        <v>123</v>
      </c>
      <c r="T231" s="8" t="s">
        <v>51</v>
      </c>
      <c r="U231" s="7" t="n">
        <v>4</v>
      </c>
      <c r="V231" s="7" t="n">
        <v>10</v>
      </c>
      <c r="W231" s="8" t="s">
        <v>52</v>
      </c>
      <c r="X231" s="8" t="s">
        <v>890</v>
      </c>
      <c r="Y231" s="8" t="s">
        <v>891</v>
      </c>
    </row>
    <row r="232" customFormat="false" ht="21.75" hidden="false" customHeight="true" outlineLevel="0" collapsed="false">
      <c r="B232" s="9" t="n">
        <v>228</v>
      </c>
      <c r="C232" s="9" t="s">
        <v>892</v>
      </c>
      <c r="D232" s="9" t="s">
        <v>893</v>
      </c>
      <c r="E232" s="9" t="s">
        <v>350</v>
      </c>
      <c r="F232" s="9" t="s">
        <v>350</v>
      </c>
      <c r="G232" s="9" t="s">
        <v>61</v>
      </c>
      <c r="H232" s="9" t="n">
        <v>5.25</v>
      </c>
      <c r="I232" s="9" t="n">
        <v>5</v>
      </c>
      <c r="J232" s="9" t="n">
        <v>2</v>
      </c>
      <c r="K232" s="9" t="n">
        <v>4</v>
      </c>
      <c r="L232" s="9" t="n">
        <v>10</v>
      </c>
      <c r="M232" s="9" t="n">
        <v>2</v>
      </c>
      <c r="N232" s="9" t="n">
        <v>9</v>
      </c>
      <c r="O232" s="9" t="n">
        <v>4</v>
      </c>
      <c r="P232" s="9" t="n">
        <v>10</v>
      </c>
      <c r="Q232" s="9" t="n">
        <v>4</v>
      </c>
      <c r="R232" s="9" t="n">
        <v>1</v>
      </c>
      <c r="S232" s="10" t="s">
        <v>50</v>
      </c>
      <c r="T232" s="10" t="s">
        <v>51</v>
      </c>
      <c r="U232" s="9" t="n">
        <v>3</v>
      </c>
      <c r="V232" s="9" t="n">
        <v>10</v>
      </c>
      <c r="W232" s="10" t="s">
        <v>52</v>
      </c>
      <c r="X232" s="10" t="s">
        <v>894</v>
      </c>
      <c r="Y232" s="10" t="s">
        <v>895</v>
      </c>
    </row>
    <row r="233" customFormat="false" ht="21.75" hidden="false" customHeight="true" outlineLevel="0" collapsed="false">
      <c r="B233" s="7" t="n">
        <v>229</v>
      </c>
      <c r="C233" s="7" t="s">
        <v>896</v>
      </c>
      <c r="D233" s="7" t="s">
        <v>897</v>
      </c>
      <c r="E233" s="7" t="s">
        <v>76</v>
      </c>
      <c r="F233" s="7" t="s">
        <v>77</v>
      </c>
      <c r="G233" s="7" t="s">
        <v>103</v>
      </c>
      <c r="H233" s="7" t="n">
        <v>5.22</v>
      </c>
      <c r="I233" s="7" t="n">
        <v>5.5</v>
      </c>
      <c r="J233" s="7" t="n">
        <v>4</v>
      </c>
      <c r="K233" s="7" t="n">
        <v>5</v>
      </c>
      <c r="L233" s="7" t="n">
        <v>6.5</v>
      </c>
      <c r="M233" s="7" t="n">
        <v>5</v>
      </c>
      <c r="N233" s="7" t="n">
        <v>5</v>
      </c>
      <c r="O233" s="7" t="n">
        <v>5</v>
      </c>
      <c r="P233" s="7" t="n">
        <v>7.5</v>
      </c>
      <c r="Q233" s="7" t="n">
        <v>4.5</v>
      </c>
      <c r="R233" s="7" t="n">
        <v>4</v>
      </c>
      <c r="S233" s="8" t="s">
        <v>123</v>
      </c>
      <c r="T233" s="8" t="s">
        <v>51</v>
      </c>
      <c r="U233" s="7" t="n">
        <v>36</v>
      </c>
      <c r="V233" s="7" t="n">
        <v>30</v>
      </c>
      <c r="W233" s="8" t="s">
        <v>52</v>
      </c>
      <c r="X233" s="8"/>
      <c r="Y233" s="8" t="s">
        <v>898</v>
      </c>
    </row>
    <row r="234" customFormat="false" ht="21.75" hidden="false" customHeight="true" outlineLevel="0" collapsed="false">
      <c r="B234" s="9" t="n">
        <v>230</v>
      </c>
      <c r="C234" s="9" t="s">
        <v>899</v>
      </c>
      <c r="D234" s="9" t="s">
        <v>900</v>
      </c>
      <c r="E234" s="9" t="s">
        <v>350</v>
      </c>
      <c r="F234" s="9" t="s">
        <v>350</v>
      </c>
      <c r="G234" s="9" t="s">
        <v>61</v>
      </c>
      <c r="H234" s="9" t="n">
        <v>5.2</v>
      </c>
      <c r="I234" s="9" t="n">
        <v>4</v>
      </c>
      <c r="J234" s="9" t="n">
        <v>3</v>
      </c>
      <c r="K234" s="9" t="n">
        <v>4</v>
      </c>
      <c r="L234" s="9" t="n">
        <v>10</v>
      </c>
      <c r="M234" s="9" t="n">
        <v>2</v>
      </c>
      <c r="N234" s="9" t="n">
        <v>8</v>
      </c>
      <c r="O234" s="9" t="n">
        <v>5</v>
      </c>
      <c r="P234" s="9" t="n">
        <v>10</v>
      </c>
      <c r="Q234" s="9" t="n">
        <v>4</v>
      </c>
      <c r="R234" s="9" t="n">
        <v>2</v>
      </c>
      <c r="S234" s="10" t="s">
        <v>123</v>
      </c>
      <c r="T234" s="10" t="s">
        <v>51</v>
      </c>
      <c r="U234" s="9" t="n">
        <v>4</v>
      </c>
      <c r="V234" s="9" t="n">
        <v>10</v>
      </c>
      <c r="W234" s="10" t="s">
        <v>52</v>
      </c>
      <c r="X234" s="10" t="s">
        <v>901</v>
      </c>
      <c r="Y234" s="10" t="s">
        <v>902</v>
      </c>
    </row>
    <row r="235" customFormat="false" ht="21.75" hidden="false" customHeight="true" outlineLevel="0" collapsed="false">
      <c r="B235" s="7" t="n">
        <v>231</v>
      </c>
      <c r="C235" s="7" t="s">
        <v>903</v>
      </c>
      <c r="D235" s="7" t="s">
        <v>904</v>
      </c>
      <c r="E235" s="7" t="s">
        <v>76</v>
      </c>
      <c r="F235" s="7" t="s">
        <v>77</v>
      </c>
      <c r="G235" s="7" t="s">
        <v>61</v>
      </c>
      <c r="H235" s="7" t="n">
        <v>5.2</v>
      </c>
      <c r="I235" s="7" t="n">
        <v>4</v>
      </c>
      <c r="J235" s="7" t="n">
        <v>6</v>
      </c>
      <c r="K235" s="7" t="n">
        <v>4</v>
      </c>
      <c r="L235" s="7" t="n">
        <v>5</v>
      </c>
      <c r="M235" s="7" t="n">
        <v>6</v>
      </c>
      <c r="N235" s="7" t="n">
        <v>7</v>
      </c>
      <c r="O235" s="7" t="n">
        <v>6</v>
      </c>
      <c r="P235" s="7" t="n">
        <v>5</v>
      </c>
      <c r="Q235" s="7" t="n">
        <v>6</v>
      </c>
      <c r="R235" s="7" t="n">
        <v>4</v>
      </c>
      <c r="S235" s="8" t="s">
        <v>56</v>
      </c>
      <c r="T235" s="8" t="s">
        <v>56</v>
      </c>
      <c r="U235" s="7" t="n">
        <v>25</v>
      </c>
      <c r="V235" s="7" t="n">
        <v>45</v>
      </c>
      <c r="W235" s="8" t="s">
        <v>57</v>
      </c>
      <c r="X235" s="8" t="s">
        <v>905</v>
      </c>
      <c r="Y235" s="8" t="s">
        <v>906</v>
      </c>
    </row>
    <row r="236" customFormat="false" ht="21.75" hidden="false" customHeight="true" outlineLevel="0" collapsed="false">
      <c r="B236" s="9" t="n">
        <v>232</v>
      </c>
      <c r="C236" s="9" t="s">
        <v>907</v>
      </c>
      <c r="D236" s="9" t="s">
        <v>908</v>
      </c>
      <c r="E236" s="9" t="s">
        <v>94</v>
      </c>
      <c r="F236" s="9" t="s">
        <v>95</v>
      </c>
      <c r="G236" s="9" t="s">
        <v>103</v>
      </c>
      <c r="H236" s="9" t="n">
        <v>5.17</v>
      </c>
      <c r="I236" s="9" t="n">
        <v>5</v>
      </c>
      <c r="J236" s="9" t="n">
        <v>5</v>
      </c>
      <c r="K236" s="9" t="n">
        <v>4.5</v>
      </c>
      <c r="L236" s="9" t="n">
        <v>6.5</v>
      </c>
      <c r="M236" s="9" t="n">
        <v>3</v>
      </c>
      <c r="N236" s="9" t="n">
        <v>7</v>
      </c>
      <c r="O236" s="9" t="n">
        <v>5</v>
      </c>
      <c r="P236" s="9" t="n">
        <v>3</v>
      </c>
      <c r="Q236" s="9" t="n">
        <v>8</v>
      </c>
      <c r="R236" s="9" t="n">
        <v>4</v>
      </c>
      <c r="S236" s="10" t="s">
        <v>123</v>
      </c>
      <c r="T236" s="10" t="s">
        <v>72</v>
      </c>
      <c r="U236" s="9" t="n">
        <v>36</v>
      </c>
      <c r="V236" s="9" t="n">
        <v>30</v>
      </c>
      <c r="W236" s="10" t="s">
        <v>52</v>
      </c>
      <c r="X236" s="10" t="s">
        <v>909</v>
      </c>
      <c r="Y236" s="10" t="s">
        <v>908</v>
      </c>
    </row>
    <row r="237" customFormat="false" ht="21.75" hidden="false" customHeight="true" outlineLevel="0" collapsed="false">
      <c r="B237" s="7" t="n">
        <v>233</v>
      </c>
      <c r="C237" s="7" t="s">
        <v>910</v>
      </c>
      <c r="D237" s="7" t="s">
        <v>911</v>
      </c>
      <c r="E237" s="7" t="s">
        <v>76</v>
      </c>
      <c r="F237" s="7" t="s">
        <v>77</v>
      </c>
      <c r="G237" s="7" t="s">
        <v>61</v>
      </c>
      <c r="H237" s="7" t="n">
        <v>5.15</v>
      </c>
      <c r="I237" s="7" t="n">
        <v>4</v>
      </c>
      <c r="J237" s="7" t="n">
        <v>5</v>
      </c>
      <c r="K237" s="7" t="n">
        <v>5</v>
      </c>
      <c r="L237" s="7" t="n">
        <v>6.5</v>
      </c>
      <c r="M237" s="7" t="n">
        <v>5</v>
      </c>
      <c r="N237" s="7" t="n">
        <v>5</v>
      </c>
      <c r="O237" s="7" t="n">
        <v>5</v>
      </c>
      <c r="P237" s="7" t="n">
        <v>7.5</v>
      </c>
      <c r="Q237" s="7" t="n">
        <v>4.5</v>
      </c>
      <c r="R237" s="7" t="n">
        <v>5.5</v>
      </c>
      <c r="S237" s="8" t="s">
        <v>123</v>
      </c>
      <c r="T237" s="8" t="s">
        <v>51</v>
      </c>
      <c r="U237" s="7" t="n">
        <v>36</v>
      </c>
      <c r="V237" s="7" t="n">
        <v>30</v>
      </c>
      <c r="W237" s="8" t="s">
        <v>52</v>
      </c>
      <c r="X237" s="8" t="s">
        <v>912</v>
      </c>
      <c r="Y237" s="8" t="s">
        <v>913</v>
      </c>
    </row>
    <row r="238" customFormat="false" ht="21.75" hidden="false" customHeight="true" outlineLevel="0" collapsed="false">
      <c r="B238" s="9" t="n">
        <v>234</v>
      </c>
      <c r="C238" s="9" t="s">
        <v>914</v>
      </c>
      <c r="D238" s="9" t="s">
        <v>915</v>
      </c>
      <c r="E238" s="9" t="s">
        <v>76</v>
      </c>
      <c r="F238" s="9" t="s">
        <v>77</v>
      </c>
      <c r="G238" s="9" t="s">
        <v>61</v>
      </c>
      <c r="H238" s="9" t="n">
        <v>5.15</v>
      </c>
      <c r="I238" s="9" t="n">
        <v>4</v>
      </c>
      <c r="J238" s="9" t="n">
        <v>5</v>
      </c>
      <c r="K238" s="9" t="n">
        <v>5</v>
      </c>
      <c r="L238" s="9" t="n">
        <v>6.5</v>
      </c>
      <c r="M238" s="9" t="n">
        <v>5</v>
      </c>
      <c r="N238" s="9" t="n">
        <v>5</v>
      </c>
      <c r="O238" s="9" t="n">
        <v>5</v>
      </c>
      <c r="P238" s="9" t="n">
        <v>7.5</v>
      </c>
      <c r="Q238" s="9" t="n">
        <v>4.5</v>
      </c>
      <c r="R238" s="9" t="n">
        <v>5.5</v>
      </c>
      <c r="S238" s="10" t="s">
        <v>123</v>
      </c>
      <c r="T238" s="10" t="s">
        <v>51</v>
      </c>
      <c r="U238" s="9" t="n">
        <v>36</v>
      </c>
      <c r="V238" s="9" t="n">
        <v>30</v>
      </c>
      <c r="W238" s="10" t="s">
        <v>52</v>
      </c>
      <c r="X238" s="10" t="s">
        <v>916</v>
      </c>
      <c r="Y238" s="10" t="s">
        <v>917</v>
      </c>
    </row>
    <row r="239" customFormat="false" ht="21.75" hidden="false" customHeight="true" outlineLevel="0" collapsed="false">
      <c r="B239" s="7" t="n">
        <v>235</v>
      </c>
      <c r="C239" s="7" t="s">
        <v>918</v>
      </c>
      <c r="D239" s="7" t="s">
        <v>919</v>
      </c>
      <c r="E239" s="7" t="s">
        <v>76</v>
      </c>
      <c r="F239" s="7" t="s">
        <v>77</v>
      </c>
      <c r="G239" s="7" t="s">
        <v>61</v>
      </c>
      <c r="H239" s="7" t="n">
        <v>5.15</v>
      </c>
      <c r="I239" s="7" t="n">
        <v>4</v>
      </c>
      <c r="J239" s="7" t="n">
        <v>5</v>
      </c>
      <c r="K239" s="7" t="n">
        <v>5</v>
      </c>
      <c r="L239" s="7" t="n">
        <v>6.5</v>
      </c>
      <c r="M239" s="7" t="n">
        <v>5</v>
      </c>
      <c r="N239" s="7" t="n">
        <v>5</v>
      </c>
      <c r="O239" s="7" t="n">
        <v>5</v>
      </c>
      <c r="P239" s="7" t="n">
        <v>7.5</v>
      </c>
      <c r="Q239" s="7" t="n">
        <v>4.5</v>
      </c>
      <c r="R239" s="7" t="n">
        <v>5.5</v>
      </c>
      <c r="S239" s="8" t="s">
        <v>123</v>
      </c>
      <c r="T239" s="8" t="s">
        <v>51</v>
      </c>
      <c r="U239" s="7" t="n">
        <v>36</v>
      </c>
      <c r="V239" s="7" t="n">
        <v>30</v>
      </c>
      <c r="W239" s="8" t="s">
        <v>52</v>
      </c>
      <c r="X239" s="8" t="s">
        <v>920</v>
      </c>
      <c r="Y239" s="8" t="s">
        <v>921</v>
      </c>
    </row>
    <row r="240" customFormat="false" ht="21.75" hidden="false" customHeight="true" outlineLevel="0" collapsed="false">
      <c r="B240" s="9" t="n">
        <v>236</v>
      </c>
      <c r="C240" s="9" t="s">
        <v>922</v>
      </c>
      <c r="D240" s="9" t="s">
        <v>923</v>
      </c>
      <c r="E240" s="9" t="s">
        <v>94</v>
      </c>
      <c r="F240" s="9" t="s">
        <v>95</v>
      </c>
      <c r="G240" s="9" t="s">
        <v>61</v>
      </c>
      <c r="H240" s="9" t="n">
        <v>5.15</v>
      </c>
      <c r="I240" s="9" t="n">
        <v>4</v>
      </c>
      <c r="J240" s="9" t="n">
        <v>4</v>
      </c>
      <c r="K240" s="9" t="n">
        <v>3</v>
      </c>
      <c r="L240" s="9" t="n">
        <v>8</v>
      </c>
      <c r="M240" s="9" t="n">
        <v>4</v>
      </c>
      <c r="N240" s="9" t="n">
        <v>7</v>
      </c>
      <c r="O240" s="9" t="n">
        <v>6</v>
      </c>
      <c r="P240" s="9" t="n">
        <v>8</v>
      </c>
      <c r="Q240" s="9" t="n">
        <v>6</v>
      </c>
      <c r="R240" s="9" t="n">
        <v>3</v>
      </c>
      <c r="S240" s="10" t="s">
        <v>123</v>
      </c>
      <c r="T240" s="10" t="s">
        <v>51</v>
      </c>
      <c r="U240" s="9" t="n">
        <v>14</v>
      </c>
      <c r="V240" s="9" t="n">
        <v>30</v>
      </c>
      <c r="W240" s="10" t="s">
        <v>52</v>
      </c>
      <c r="X240" s="10" t="s">
        <v>924</v>
      </c>
      <c r="Y240" s="10" t="s">
        <v>925</v>
      </c>
    </row>
    <row r="241" customFormat="false" ht="21.75" hidden="false" customHeight="true" outlineLevel="0" collapsed="false">
      <c r="B241" s="7" t="n">
        <v>237</v>
      </c>
      <c r="C241" s="7" t="s">
        <v>926</v>
      </c>
      <c r="D241" s="7" t="s">
        <v>927</v>
      </c>
      <c r="E241" s="7" t="s">
        <v>350</v>
      </c>
      <c r="F241" s="7" t="s">
        <v>350</v>
      </c>
      <c r="G241" s="7" t="s">
        <v>61</v>
      </c>
      <c r="H241" s="7" t="n">
        <v>5.15</v>
      </c>
      <c r="I241" s="7" t="n">
        <v>4</v>
      </c>
      <c r="J241" s="7" t="n">
        <v>3</v>
      </c>
      <c r="K241" s="7" t="n">
        <v>4</v>
      </c>
      <c r="L241" s="7" t="n">
        <v>10</v>
      </c>
      <c r="M241" s="7" t="n">
        <v>2</v>
      </c>
      <c r="N241" s="7" t="n">
        <v>8</v>
      </c>
      <c r="O241" s="7" t="n">
        <v>5</v>
      </c>
      <c r="P241" s="7" t="n">
        <v>10</v>
      </c>
      <c r="Q241" s="7" t="n">
        <v>4</v>
      </c>
      <c r="R241" s="7" t="n">
        <v>1</v>
      </c>
      <c r="S241" s="8" t="s">
        <v>123</v>
      </c>
      <c r="T241" s="8" t="s">
        <v>51</v>
      </c>
      <c r="U241" s="7" t="n">
        <v>3</v>
      </c>
      <c r="V241" s="7" t="n">
        <v>10</v>
      </c>
      <c r="W241" s="8" t="s">
        <v>52</v>
      </c>
      <c r="X241" s="8" t="s">
        <v>928</v>
      </c>
      <c r="Y241" s="8" t="s">
        <v>929</v>
      </c>
    </row>
    <row r="242" customFormat="false" ht="21.75" hidden="false" customHeight="true" outlineLevel="0" collapsed="false">
      <c r="B242" s="9" t="n">
        <v>238</v>
      </c>
      <c r="C242" s="9" t="s">
        <v>930</v>
      </c>
      <c r="D242" s="9" t="s">
        <v>931</v>
      </c>
      <c r="E242" s="9" t="s">
        <v>94</v>
      </c>
      <c r="F242" s="9" t="s">
        <v>95</v>
      </c>
      <c r="G242" s="9" t="s">
        <v>61</v>
      </c>
      <c r="H242" s="9" t="n">
        <v>5.1</v>
      </c>
      <c r="I242" s="9" t="n">
        <v>3</v>
      </c>
      <c r="J242" s="9" t="n">
        <v>4</v>
      </c>
      <c r="K242" s="9" t="n">
        <v>2</v>
      </c>
      <c r="L242" s="9" t="n">
        <v>10</v>
      </c>
      <c r="M242" s="9" t="n">
        <v>3</v>
      </c>
      <c r="N242" s="9" t="n">
        <v>6</v>
      </c>
      <c r="O242" s="9" t="n">
        <v>8</v>
      </c>
      <c r="P242" s="9" t="n">
        <v>10</v>
      </c>
      <c r="Q242" s="9" t="n">
        <v>5</v>
      </c>
      <c r="R242" s="9" t="n">
        <v>3</v>
      </c>
      <c r="S242" s="10" t="s">
        <v>123</v>
      </c>
      <c r="T242" s="10" t="s">
        <v>51</v>
      </c>
      <c r="U242" s="9" t="n">
        <v>8</v>
      </c>
      <c r="V242" s="9" t="n">
        <v>10</v>
      </c>
      <c r="W242" s="10" t="s">
        <v>52</v>
      </c>
      <c r="X242" s="10" t="s">
        <v>932</v>
      </c>
      <c r="Y242" s="10" t="s">
        <v>933</v>
      </c>
    </row>
    <row r="243" customFormat="false" ht="21.75" hidden="false" customHeight="true" outlineLevel="0" collapsed="false">
      <c r="B243" s="7" t="n">
        <v>239</v>
      </c>
      <c r="C243" s="7" t="s">
        <v>934</v>
      </c>
      <c r="D243" s="7" t="s">
        <v>935</v>
      </c>
      <c r="E243" s="7" t="s">
        <v>76</v>
      </c>
      <c r="F243" s="7" t="s">
        <v>77</v>
      </c>
      <c r="G243" s="7" t="s">
        <v>61</v>
      </c>
      <c r="H243" s="7" t="n">
        <v>5.08</v>
      </c>
      <c r="I243" s="7" t="n">
        <v>4</v>
      </c>
      <c r="J243" s="7" t="n">
        <v>5</v>
      </c>
      <c r="K243" s="7" t="n">
        <v>5</v>
      </c>
      <c r="L243" s="7" t="n">
        <v>6.5</v>
      </c>
      <c r="M243" s="7" t="n">
        <v>5</v>
      </c>
      <c r="N243" s="7" t="n">
        <v>5</v>
      </c>
      <c r="O243" s="7" t="n">
        <v>5</v>
      </c>
      <c r="P243" s="7" t="n">
        <v>7.5</v>
      </c>
      <c r="Q243" s="7" t="n">
        <v>4.5</v>
      </c>
      <c r="R243" s="7" t="n">
        <v>4</v>
      </c>
      <c r="S243" s="8" t="s">
        <v>123</v>
      </c>
      <c r="T243" s="8" t="s">
        <v>51</v>
      </c>
      <c r="U243" s="7" t="n">
        <v>36</v>
      </c>
      <c r="V243" s="7" t="n">
        <v>30</v>
      </c>
      <c r="W243" s="8" t="s">
        <v>52</v>
      </c>
      <c r="X243" s="8" t="s">
        <v>936</v>
      </c>
      <c r="Y243" s="8" t="s">
        <v>937</v>
      </c>
    </row>
    <row r="244" customFormat="false" ht="21.75" hidden="false" customHeight="true" outlineLevel="0" collapsed="false">
      <c r="B244" s="9" t="n">
        <v>240</v>
      </c>
      <c r="C244" s="9" t="s">
        <v>938</v>
      </c>
      <c r="D244" s="9" t="s">
        <v>939</v>
      </c>
      <c r="E244" s="9" t="s">
        <v>305</v>
      </c>
      <c r="F244" s="9" t="s">
        <v>305</v>
      </c>
      <c r="G244" s="9" t="s">
        <v>61</v>
      </c>
      <c r="H244" s="9" t="n">
        <v>5</v>
      </c>
      <c r="I244" s="9" t="n">
        <v>4</v>
      </c>
      <c r="J244" s="9" t="n">
        <v>2</v>
      </c>
      <c r="K244" s="9" t="n">
        <v>3</v>
      </c>
      <c r="L244" s="9" t="n">
        <v>10</v>
      </c>
      <c r="M244" s="9" t="n">
        <v>2</v>
      </c>
      <c r="N244" s="9" t="n">
        <v>8</v>
      </c>
      <c r="O244" s="9" t="n">
        <v>5</v>
      </c>
      <c r="P244" s="9" t="n">
        <v>10</v>
      </c>
      <c r="Q244" s="9" t="n">
        <v>5</v>
      </c>
      <c r="R244" s="9" t="n">
        <v>2</v>
      </c>
      <c r="S244" s="10" t="s">
        <v>123</v>
      </c>
      <c r="T244" s="10" t="s">
        <v>51</v>
      </c>
      <c r="U244" s="9" t="n">
        <v>6</v>
      </c>
      <c r="V244" s="9" t="n">
        <v>10</v>
      </c>
      <c r="W244" s="10" t="s">
        <v>52</v>
      </c>
      <c r="X244" s="10" t="s">
        <v>940</v>
      </c>
      <c r="Y244" s="10" t="s">
        <v>941</v>
      </c>
    </row>
    <row r="245" customFormat="false" ht="21.75" hidden="false" customHeight="true" outlineLevel="0" collapsed="false">
      <c r="B245" s="7" t="n">
        <v>241</v>
      </c>
      <c r="C245" s="7" t="s">
        <v>942</v>
      </c>
      <c r="D245" s="7" t="s">
        <v>943</v>
      </c>
      <c r="E245" s="7" t="s">
        <v>350</v>
      </c>
      <c r="F245" s="7" t="s">
        <v>350</v>
      </c>
      <c r="G245" s="7" t="s">
        <v>61</v>
      </c>
      <c r="H245" s="7" t="n">
        <v>4.95</v>
      </c>
      <c r="I245" s="7" t="n">
        <v>4</v>
      </c>
      <c r="J245" s="7" t="n">
        <v>2</v>
      </c>
      <c r="K245" s="7" t="n">
        <v>3</v>
      </c>
      <c r="L245" s="7" t="n">
        <v>10</v>
      </c>
      <c r="M245" s="7" t="n">
        <v>2</v>
      </c>
      <c r="N245" s="7" t="n">
        <v>7</v>
      </c>
      <c r="O245" s="7" t="n">
        <v>6</v>
      </c>
      <c r="P245" s="7" t="n">
        <v>10</v>
      </c>
      <c r="Q245" s="7" t="n">
        <v>5</v>
      </c>
      <c r="R245" s="7" t="n">
        <v>2</v>
      </c>
      <c r="S245" s="8" t="s">
        <v>123</v>
      </c>
      <c r="T245" s="8" t="s">
        <v>51</v>
      </c>
      <c r="U245" s="7" t="n">
        <v>4</v>
      </c>
      <c r="V245" s="7" t="n">
        <v>10</v>
      </c>
      <c r="W245" s="8" t="s">
        <v>52</v>
      </c>
      <c r="X245" s="8" t="s">
        <v>944</v>
      </c>
      <c r="Y245" s="8" t="s">
        <v>945</v>
      </c>
    </row>
    <row r="246" customFormat="false" ht="21.75" hidden="false" customHeight="true" outlineLevel="0" collapsed="false">
      <c r="B246" s="9" t="n">
        <v>242</v>
      </c>
      <c r="C246" s="9" t="s">
        <v>946</v>
      </c>
      <c r="D246" s="9" t="s">
        <v>947</v>
      </c>
      <c r="E246" s="9" t="s">
        <v>76</v>
      </c>
      <c r="F246" s="9" t="s">
        <v>77</v>
      </c>
      <c r="G246" s="9" t="s">
        <v>61</v>
      </c>
      <c r="H246" s="9" t="n">
        <v>4.95</v>
      </c>
      <c r="I246" s="9" t="n">
        <v>4</v>
      </c>
      <c r="J246" s="9" t="n">
        <v>4</v>
      </c>
      <c r="K246" s="9" t="n">
        <v>4</v>
      </c>
      <c r="L246" s="9" t="n">
        <v>6</v>
      </c>
      <c r="M246" s="9" t="n">
        <v>5</v>
      </c>
      <c r="N246" s="9" t="n">
        <v>7</v>
      </c>
      <c r="O246" s="9" t="n">
        <v>6</v>
      </c>
      <c r="P246" s="9" t="n">
        <v>6</v>
      </c>
      <c r="Q246" s="9" t="n">
        <v>6</v>
      </c>
      <c r="R246" s="9" t="n">
        <v>3</v>
      </c>
      <c r="S246" s="10" t="s">
        <v>56</v>
      </c>
      <c r="T246" s="10" t="s">
        <v>56</v>
      </c>
      <c r="U246" s="9" t="n">
        <v>30</v>
      </c>
      <c r="V246" s="9" t="n">
        <v>45</v>
      </c>
      <c r="W246" s="10" t="s">
        <v>57</v>
      </c>
      <c r="X246" s="10" t="s">
        <v>948</v>
      </c>
      <c r="Y246" s="10" t="s">
        <v>949</v>
      </c>
    </row>
    <row r="247" customFormat="false" ht="21.75" hidden="false" customHeight="true" outlineLevel="0" collapsed="false">
      <c r="B247" s="7" t="n">
        <v>243</v>
      </c>
      <c r="C247" s="7" t="s">
        <v>950</v>
      </c>
      <c r="D247" s="7" t="s">
        <v>951</v>
      </c>
      <c r="E247" s="7" t="s">
        <v>76</v>
      </c>
      <c r="F247" s="7" t="s">
        <v>77</v>
      </c>
      <c r="G247" s="7" t="s">
        <v>61</v>
      </c>
      <c r="H247" s="7" t="n">
        <v>4.88</v>
      </c>
      <c r="I247" s="7" t="n">
        <v>4</v>
      </c>
      <c r="J247" s="7" t="n">
        <v>4</v>
      </c>
      <c r="K247" s="7" t="n">
        <v>4</v>
      </c>
      <c r="L247" s="7" t="n">
        <v>6.5</v>
      </c>
      <c r="M247" s="7" t="n">
        <v>5</v>
      </c>
      <c r="N247" s="7" t="n">
        <v>5</v>
      </c>
      <c r="O247" s="7" t="n">
        <v>5</v>
      </c>
      <c r="P247" s="7" t="n">
        <v>6</v>
      </c>
      <c r="Q247" s="7" t="n">
        <v>7</v>
      </c>
      <c r="R247" s="7" t="n">
        <v>4</v>
      </c>
      <c r="S247" s="8" t="s">
        <v>123</v>
      </c>
      <c r="T247" s="8" t="s">
        <v>56</v>
      </c>
      <c r="U247" s="7" t="n">
        <v>40</v>
      </c>
      <c r="V247" s="7" t="n">
        <v>45</v>
      </c>
      <c r="W247" s="8" t="s">
        <v>52</v>
      </c>
      <c r="X247" s="8"/>
      <c r="Y247" s="8" t="s">
        <v>952</v>
      </c>
    </row>
    <row r="248" customFormat="false" ht="21.75" hidden="false" customHeight="true" outlineLevel="0" collapsed="false">
      <c r="B248" s="9" t="n">
        <v>244</v>
      </c>
      <c r="C248" s="9" t="s">
        <v>953</v>
      </c>
      <c r="D248" s="9" t="s">
        <v>954</v>
      </c>
      <c r="E248" s="9" t="s">
        <v>94</v>
      </c>
      <c r="F248" s="9" t="s">
        <v>95</v>
      </c>
      <c r="G248" s="9" t="s">
        <v>61</v>
      </c>
      <c r="H248" s="9" t="n">
        <v>4.85</v>
      </c>
      <c r="I248" s="9" t="n">
        <v>4</v>
      </c>
      <c r="J248" s="9" t="n">
        <v>2</v>
      </c>
      <c r="K248" s="9" t="n">
        <v>2</v>
      </c>
      <c r="L248" s="9" t="n">
        <v>10</v>
      </c>
      <c r="M248" s="9" t="n">
        <v>2</v>
      </c>
      <c r="N248" s="9" t="n">
        <v>8</v>
      </c>
      <c r="O248" s="9" t="n">
        <v>5</v>
      </c>
      <c r="P248" s="9" t="n">
        <v>10</v>
      </c>
      <c r="Q248" s="9" t="n">
        <v>4</v>
      </c>
      <c r="R248" s="9" t="n">
        <v>2</v>
      </c>
      <c r="S248" s="10" t="s">
        <v>50</v>
      </c>
      <c r="T248" s="10" t="s">
        <v>51</v>
      </c>
      <c r="U248" s="9" t="n">
        <v>4</v>
      </c>
      <c r="V248" s="9" t="n">
        <v>10</v>
      </c>
      <c r="W248" s="10" t="s">
        <v>52</v>
      </c>
      <c r="X248" s="10" t="s">
        <v>955</v>
      </c>
      <c r="Y248" s="10" t="s">
        <v>956</v>
      </c>
    </row>
    <row r="249" customFormat="false" ht="21.75" hidden="false" customHeight="true" outlineLevel="0" collapsed="false">
      <c r="B249" s="7" t="n">
        <v>245</v>
      </c>
      <c r="C249" s="7" t="s">
        <v>957</v>
      </c>
      <c r="D249" s="7" t="s">
        <v>958</v>
      </c>
      <c r="E249" s="7" t="s">
        <v>350</v>
      </c>
      <c r="F249" s="7" t="s">
        <v>350</v>
      </c>
      <c r="G249" s="7" t="s">
        <v>61</v>
      </c>
      <c r="H249" s="7" t="n">
        <v>4.85</v>
      </c>
      <c r="I249" s="7" t="n">
        <v>4</v>
      </c>
      <c r="J249" s="7" t="n">
        <v>2</v>
      </c>
      <c r="K249" s="7" t="n">
        <v>3</v>
      </c>
      <c r="L249" s="7" t="n">
        <v>10</v>
      </c>
      <c r="M249" s="7" t="n">
        <v>2</v>
      </c>
      <c r="N249" s="7" t="n">
        <v>8</v>
      </c>
      <c r="O249" s="7" t="n">
        <v>4</v>
      </c>
      <c r="P249" s="7" t="n">
        <v>10</v>
      </c>
      <c r="Q249" s="7" t="n">
        <v>4</v>
      </c>
      <c r="R249" s="7" t="n">
        <v>1</v>
      </c>
      <c r="S249" s="8" t="s">
        <v>50</v>
      </c>
      <c r="T249" s="8" t="s">
        <v>51</v>
      </c>
      <c r="U249" s="7" t="n">
        <v>3</v>
      </c>
      <c r="V249" s="7" t="n">
        <v>10</v>
      </c>
      <c r="W249" s="8" t="s">
        <v>52</v>
      </c>
      <c r="X249" s="8" t="s">
        <v>959</v>
      </c>
      <c r="Y249" s="8" t="s">
        <v>960</v>
      </c>
    </row>
    <row r="250" customFormat="false" ht="21.75" hidden="false" customHeight="true" outlineLevel="0" collapsed="false">
      <c r="B250" s="9" t="n">
        <v>246</v>
      </c>
      <c r="C250" s="9" t="s">
        <v>961</v>
      </c>
      <c r="D250" s="9" t="s">
        <v>962</v>
      </c>
      <c r="E250" s="9" t="s">
        <v>94</v>
      </c>
      <c r="F250" s="9" t="s">
        <v>95</v>
      </c>
      <c r="G250" s="9" t="s">
        <v>61</v>
      </c>
      <c r="H250" s="9" t="n">
        <v>4.8</v>
      </c>
      <c r="I250" s="9" t="n">
        <v>4</v>
      </c>
      <c r="J250" s="9" t="n">
        <v>4</v>
      </c>
      <c r="K250" s="9" t="n">
        <v>3</v>
      </c>
      <c r="L250" s="9" t="n">
        <v>6</v>
      </c>
      <c r="M250" s="9" t="n">
        <v>4</v>
      </c>
      <c r="N250" s="9" t="n">
        <v>7</v>
      </c>
      <c r="O250" s="9" t="n">
        <v>7</v>
      </c>
      <c r="P250" s="9" t="n">
        <v>6</v>
      </c>
      <c r="Q250" s="9" t="n">
        <v>6</v>
      </c>
      <c r="R250" s="9" t="n">
        <v>3</v>
      </c>
      <c r="S250" s="10" t="s">
        <v>123</v>
      </c>
      <c r="T250" s="10" t="s">
        <v>51</v>
      </c>
      <c r="U250" s="9" t="n">
        <v>10</v>
      </c>
      <c r="V250" s="9" t="n">
        <v>45</v>
      </c>
      <c r="W250" s="10" t="s">
        <v>57</v>
      </c>
      <c r="X250" s="10" t="s">
        <v>963</v>
      </c>
      <c r="Y250" s="10" t="s">
        <v>964</v>
      </c>
    </row>
    <row r="251" customFormat="false" ht="21.75" hidden="false" customHeight="true" outlineLevel="0" collapsed="false">
      <c r="B251" s="7" t="n">
        <v>247</v>
      </c>
      <c r="C251" s="7" t="s">
        <v>965</v>
      </c>
      <c r="D251" s="7" t="s">
        <v>966</v>
      </c>
      <c r="E251" s="7" t="s">
        <v>76</v>
      </c>
      <c r="F251" s="7" t="s">
        <v>77</v>
      </c>
      <c r="G251" s="7" t="s">
        <v>61</v>
      </c>
      <c r="H251" s="7" t="n">
        <v>4.55</v>
      </c>
      <c r="I251" s="7" t="n">
        <v>2</v>
      </c>
      <c r="J251" s="7" t="n">
        <v>4</v>
      </c>
      <c r="K251" s="7" t="n">
        <v>3</v>
      </c>
      <c r="L251" s="7" t="n">
        <v>8</v>
      </c>
      <c r="M251" s="7" t="n">
        <v>4</v>
      </c>
      <c r="N251" s="7" t="n">
        <v>5</v>
      </c>
      <c r="O251" s="7" t="n">
        <v>8</v>
      </c>
      <c r="P251" s="7" t="n">
        <v>7</v>
      </c>
      <c r="Q251" s="7" t="n">
        <v>5</v>
      </c>
      <c r="R251" s="7" t="n">
        <v>3</v>
      </c>
      <c r="S251" s="8" t="s">
        <v>56</v>
      </c>
      <c r="T251" s="8" t="s">
        <v>51</v>
      </c>
      <c r="U251" s="7" t="n">
        <v>30</v>
      </c>
      <c r="V251" s="7" t="n">
        <v>30</v>
      </c>
      <c r="W251" s="8" t="s">
        <v>52</v>
      </c>
      <c r="X251" s="8" t="s">
        <v>967</v>
      </c>
      <c r="Y251" s="8" t="s">
        <v>968</v>
      </c>
    </row>
    <row r="253" customFormat="false" ht="15" hidden="false" customHeight="true" outlineLevel="0" collapsed="false">
      <c r="B253" s="5" t="s">
        <v>969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</sheetData>
  <autoFilter ref="B4:Y251"/>
  <mergeCells count="2">
    <mergeCell ref="B2:Y2"/>
    <mergeCell ref="B253:Y253"/>
  </mergeCells>
  <conditionalFormatting sqref="H5:H25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1">
    <cfRule type="colorScale" priority="3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conditionalFormatting sqref="J5:J251">
    <cfRule type="colorScale" priority="4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conditionalFormatting sqref="K5:K251">
    <cfRule type="colorScale" priority="5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conditionalFormatting sqref="L5:L251">
    <cfRule type="colorScale" priority="6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conditionalFormatting sqref="M5:M251">
    <cfRule type="colorScale" priority="7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conditionalFormatting sqref="N5:N251">
    <cfRule type="colorScale" priority="8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conditionalFormatting sqref="O5:O251">
    <cfRule type="colorScale" priority="9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conditionalFormatting sqref="P5:P251">
    <cfRule type="colorScale" priority="10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conditionalFormatting sqref="Q5:Q251">
    <cfRule type="colorScale" priority="11">
      <colorScale>
        <cfvo type="num" val="1"/>
        <cfvo type="num" val="5.5"/>
        <cfvo type="num" val="1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5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8" min="7" style="1" width="7"/>
    <col collapsed="false" customWidth="true" hidden="false" outlineLevel="0" max="9" min="9" style="1" width="60"/>
    <col collapsed="false" customWidth="true" hidden="false" outlineLevel="0" max="10" min="10" style="1" width="55"/>
    <col collapsed="false" customWidth="true" hidden="false" outlineLevel="0" max="11" min="11" style="1" width="9"/>
  </cols>
  <sheetData>
    <row r="2" customFormat="false" ht="31.5" hidden="false" customHeight="true" outlineLevel="0" collapsed="false">
      <c r="B2" s="2" t="s">
        <v>970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21</v>
      </c>
      <c r="C4" s="6" t="s">
        <v>22</v>
      </c>
      <c r="D4" s="6" t="s">
        <v>23</v>
      </c>
      <c r="E4" s="6" t="s">
        <v>24</v>
      </c>
      <c r="F4" s="6" t="s">
        <v>971</v>
      </c>
      <c r="G4" s="6" t="s">
        <v>38</v>
      </c>
      <c r="H4" s="6" t="s">
        <v>39</v>
      </c>
      <c r="I4" s="6" t="s">
        <v>972</v>
      </c>
      <c r="J4" s="6" t="s">
        <v>973</v>
      </c>
      <c r="K4" s="6" t="s">
        <v>974</v>
      </c>
    </row>
    <row r="5" customFormat="false" ht="21.75" hidden="false" customHeight="true" outlineLevel="0" collapsed="false">
      <c r="B5" s="7" t="n">
        <v>1</v>
      </c>
      <c r="C5" s="8" t="s">
        <v>45</v>
      </c>
      <c r="D5" s="8" t="s">
        <v>46</v>
      </c>
      <c r="E5" s="8" t="s">
        <v>47</v>
      </c>
      <c r="F5" s="7" t="n">
        <v>8.2</v>
      </c>
      <c r="G5" s="8" t="s">
        <v>50</v>
      </c>
      <c r="H5" s="8" t="s">
        <v>51</v>
      </c>
      <c r="I5" s="8" t="s">
        <v>46</v>
      </c>
      <c r="J5" s="8" t="s">
        <v>975</v>
      </c>
      <c r="K5" s="7" t="n">
        <v>4</v>
      </c>
    </row>
    <row r="6" customFormat="false" ht="21.75" hidden="false" customHeight="true" outlineLevel="0" collapsed="false">
      <c r="B6" s="9" t="n">
        <v>2</v>
      </c>
      <c r="C6" s="10" t="s">
        <v>53</v>
      </c>
      <c r="D6" s="10" t="s">
        <v>54</v>
      </c>
      <c r="E6" s="10" t="s">
        <v>47</v>
      </c>
      <c r="F6" s="9" t="n">
        <v>8.03</v>
      </c>
      <c r="G6" s="10" t="s">
        <v>55</v>
      </c>
      <c r="H6" s="10" t="s">
        <v>56</v>
      </c>
      <c r="I6" s="10" t="s">
        <v>58</v>
      </c>
      <c r="J6" s="10" t="s">
        <v>976</v>
      </c>
      <c r="K6" s="9" t="n">
        <v>3</v>
      </c>
    </row>
    <row r="7" customFormat="false" ht="21.75" hidden="false" customHeight="true" outlineLevel="0" collapsed="false">
      <c r="B7" s="7" t="n">
        <v>3</v>
      </c>
      <c r="C7" s="8" t="s">
        <v>59</v>
      </c>
      <c r="D7" s="8" t="s">
        <v>60</v>
      </c>
      <c r="E7" s="8" t="s">
        <v>47</v>
      </c>
      <c r="F7" s="7" t="n">
        <v>7.75</v>
      </c>
      <c r="G7" s="8" t="s">
        <v>55</v>
      </c>
      <c r="H7" s="8" t="s">
        <v>56</v>
      </c>
      <c r="I7" s="8" t="s">
        <v>63</v>
      </c>
      <c r="J7" s="8" t="s">
        <v>977</v>
      </c>
      <c r="K7" s="7" t="n">
        <v>0</v>
      </c>
    </row>
    <row r="8" customFormat="false" ht="21.75" hidden="false" customHeight="true" outlineLevel="0" collapsed="false">
      <c r="B8" s="9" t="n">
        <v>4</v>
      </c>
      <c r="C8" s="10" t="s">
        <v>64</v>
      </c>
      <c r="D8" s="10" t="s">
        <v>65</v>
      </c>
      <c r="E8" s="10" t="s">
        <v>47</v>
      </c>
      <c r="F8" s="9" t="n">
        <v>7.67</v>
      </c>
      <c r="G8" s="10" t="s">
        <v>50</v>
      </c>
      <c r="H8" s="10" t="s">
        <v>51</v>
      </c>
      <c r="I8" s="10" t="s">
        <v>66</v>
      </c>
      <c r="J8" s="10" t="s">
        <v>978</v>
      </c>
      <c r="K8" s="9" t="n">
        <v>4</v>
      </c>
    </row>
    <row r="9" customFormat="false" ht="21.75" hidden="false" customHeight="true" outlineLevel="0" collapsed="false">
      <c r="B9" s="7" t="n">
        <v>5</v>
      </c>
      <c r="C9" s="8" t="s">
        <v>67</v>
      </c>
      <c r="D9" s="8" t="s">
        <v>68</v>
      </c>
      <c r="E9" s="8" t="s">
        <v>47</v>
      </c>
      <c r="F9" s="7" t="n">
        <v>7.62</v>
      </c>
      <c r="G9" s="8" t="s">
        <v>50</v>
      </c>
      <c r="H9" s="8" t="s">
        <v>51</v>
      </c>
      <c r="I9" s="8" t="s">
        <v>69</v>
      </c>
      <c r="J9" s="8" t="s">
        <v>979</v>
      </c>
      <c r="K9" s="7" t="n">
        <v>3</v>
      </c>
    </row>
    <row r="10" customFormat="false" ht="21.75" hidden="false" customHeight="true" outlineLevel="0" collapsed="false">
      <c r="B10" s="9" t="n">
        <v>6</v>
      </c>
      <c r="C10" s="10" t="s">
        <v>70</v>
      </c>
      <c r="D10" s="10" t="s">
        <v>71</v>
      </c>
      <c r="E10" s="10" t="s">
        <v>47</v>
      </c>
      <c r="F10" s="9" t="n">
        <v>7.6</v>
      </c>
      <c r="G10" s="10" t="s">
        <v>55</v>
      </c>
      <c r="H10" s="10" t="s">
        <v>72</v>
      </c>
      <c r="I10" s="10" t="s">
        <v>73</v>
      </c>
      <c r="J10" s="10" t="s">
        <v>980</v>
      </c>
      <c r="K10" s="9" t="n">
        <v>4</v>
      </c>
    </row>
    <row r="11" customFormat="false" ht="21.75" hidden="false" customHeight="true" outlineLevel="0" collapsed="false">
      <c r="B11" s="7" t="n">
        <v>7</v>
      </c>
      <c r="C11" s="8" t="s">
        <v>74</v>
      </c>
      <c r="D11" s="8" t="s">
        <v>75</v>
      </c>
      <c r="E11" s="8" t="s">
        <v>76</v>
      </c>
      <c r="F11" s="7" t="n">
        <v>7.6</v>
      </c>
      <c r="G11" s="8" t="s">
        <v>55</v>
      </c>
      <c r="H11" s="8" t="s">
        <v>72</v>
      </c>
      <c r="I11" s="8" t="s">
        <v>981</v>
      </c>
      <c r="J11" s="8" t="s">
        <v>982</v>
      </c>
      <c r="K11" s="7" t="n">
        <v>6</v>
      </c>
    </row>
    <row r="12" customFormat="false" ht="21.75" hidden="false" customHeight="true" outlineLevel="0" collapsed="false">
      <c r="B12" s="9" t="n">
        <v>8</v>
      </c>
      <c r="C12" s="10" t="s">
        <v>79</v>
      </c>
      <c r="D12" s="10" t="s">
        <v>80</v>
      </c>
      <c r="E12" s="10" t="s">
        <v>47</v>
      </c>
      <c r="F12" s="9" t="n">
        <v>7.6</v>
      </c>
      <c r="G12" s="10" t="s">
        <v>56</v>
      </c>
      <c r="H12" s="10" t="s">
        <v>56</v>
      </c>
      <c r="I12" s="10" t="s">
        <v>82</v>
      </c>
      <c r="J12" s="10" t="s">
        <v>983</v>
      </c>
      <c r="K12" s="9" t="n">
        <v>0</v>
      </c>
    </row>
    <row r="13" customFormat="false" ht="21.75" hidden="false" customHeight="true" outlineLevel="0" collapsed="false">
      <c r="B13" s="7" t="n">
        <v>9</v>
      </c>
      <c r="C13" s="8" t="s">
        <v>83</v>
      </c>
      <c r="D13" s="8" t="s">
        <v>84</v>
      </c>
      <c r="E13" s="8" t="s">
        <v>47</v>
      </c>
      <c r="F13" s="7" t="n">
        <v>7.6</v>
      </c>
      <c r="G13" s="8" t="s">
        <v>56</v>
      </c>
      <c r="H13" s="8" t="s">
        <v>56</v>
      </c>
      <c r="I13" s="8" t="s">
        <v>86</v>
      </c>
      <c r="J13" s="8" t="s">
        <v>984</v>
      </c>
      <c r="K13" s="7" t="n">
        <v>0</v>
      </c>
    </row>
    <row r="14" customFormat="false" ht="21.75" hidden="false" customHeight="true" outlineLevel="0" collapsed="false">
      <c r="B14" s="9" t="n">
        <v>10</v>
      </c>
      <c r="C14" s="10" t="s">
        <v>87</v>
      </c>
      <c r="D14" s="10" t="s">
        <v>88</v>
      </c>
      <c r="E14" s="10" t="s">
        <v>89</v>
      </c>
      <c r="F14" s="9" t="n">
        <v>7.58</v>
      </c>
      <c r="G14" s="10" t="s">
        <v>55</v>
      </c>
      <c r="H14" s="10" t="s">
        <v>56</v>
      </c>
      <c r="I14" s="10" t="s">
        <v>91</v>
      </c>
      <c r="J14" s="10" t="s">
        <v>985</v>
      </c>
      <c r="K14" s="9" t="n">
        <v>3</v>
      </c>
    </row>
    <row r="15" customFormat="false" ht="21.75" hidden="false" customHeight="true" outlineLevel="0" collapsed="false">
      <c r="B15" s="7" t="n">
        <v>11</v>
      </c>
      <c r="C15" s="8" t="s">
        <v>92</v>
      </c>
      <c r="D15" s="8" t="s">
        <v>93</v>
      </c>
      <c r="E15" s="8" t="s">
        <v>94</v>
      </c>
      <c r="F15" s="7" t="n">
        <v>7.58</v>
      </c>
      <c r="G15" s="8" t="s">
        <v>56</v>
      </c>
      <c r="H15" s="8" t="s">
        <v>56</v>
      </c>
      <c r="I15" s="8" t="s">
        <v>97</v>
      </c>
      <c r="J15" s="8" t="s">
        <v>986</v>
      </c>
      <c r="K15" s="7" t="n">
        <v>2</v>
      </c>
    </row>
    <row r="16" customFormat="false" ht="21.75" hidden="false" customHeight="true" outlineLevel="0" collapsed="false">
      <c r="B16" s="9" t="n">
        <v>12</v>
      </c>
      <c r="C16" s="10" t="s">
        <v>98</v>
      </c>
      <c r="D16" s="10" t="s">
        <v>99</v>
      </c>
      <c r="E16" s="10" t="s">
        <v>47</v>
      </c>
      <c r="F16" s="9" t="n">
        <v>7.55</v>
      </c>
      <c r="G16" s="10" t="s">
        <v>50</v>
      </c>
      <c r="H16" s="10" t="s">
        <v>51</v>
      </c>
      <c r="I16" s="10" t="s">
        <v>100</v>
      </c>
      <c r="J16" s="10" t="s">
        <v>987</v>
      </c>
      <c r="K16" s="9" t="n">
        <v>2</v>
      </c>
    </row>
    <row r="17" customFormat="false" ht="21.75" hidden="false" customHeight="true" outlineLevel="0" collapsed="false">
      <c r="B17" s="7" t="n">
        <v>13</v>
      </c>
      <c r="C17" s="8" t="s">
        <v>101</v>
      </c>
      <c r="D17" s="8" t="s">
        <v>102</v>
      </c>
      <c r="E17" s="8" t="s">
        <v>89</v>
      </c>
      <c r="F17" s="7" t="n">
        <v>7.55</v>
      </c>
      <c r="G17" s="8" t="s">
        <v>50</v>
      </c>
      <c r="H17" s="8" t="s">
        <v>51</v>
      </c>
      <c r="I17" s="8" t="s">
        <v>104</v>
      </c>
      <c r="J17" s="8" t="s">
        <v>988</v>
      </c>
      <c r="K17" s="7" t="n">
        <v>3</v>
      </c>
    </row>
    <row r="18" customFormat="false" ht="21.75" hidden="false" customHeight="true" outlineLevel="0" collapsed="false">
      <c r="B18" s="9" t="n">
        <v>14</v>
      </c>
      <c r="C18" s="10" t="s">
        <v>105</v>
      </c>
      <c r="D18" s="10" t="s">
        <v>106</v>
      </c>
      <c r="E18" s="10" t="s">
        <v>89</v>
      </c>
      <c r="F18" s="9" t="n">
        <v>7.55</v>
      </c>
      <c r="G18" s="10" t="s">
        <v>55</v>
      </c>
      <c r="H18" s="10" t="s">
        <v>56</v>
      </c>
      <c r="I18" s="10" t="s">
        <v>107</v>
      </c>
      <c r="J18" s="10" t="s">
        <v>989</v>
      </c>
      <c r="K18" s="9" t="n">
        <v>4</v>
      </c>
    </row>
    <row r="19" customFormat="false" ht="21.75" hidden="false" customHeight="true" outlineLevel="0" collapsed="false">
      <c r="B19" s="7" t="n">
        <v>15</v>
      </c>
      <c r="C19" s="8" t="s">
        <v>108</v>
      </c>
      <c r="D19" s="8" t="s">
        <v>109</v>
      </c>
      <c r="E19" s="8" t="s">
        <v>76</v>
      </c>
      <c r="F19" s="7" t="n">
        <v>7.55</v>
      </c>
      <c r="G19" s="8" t="s">
        <v>56</v>
      </c>
      <c r="H19" s="8" t="s">
        <v>56</v>
      </c>
      <c r="I19" s="8" t="s">
        <v>990</v>
      </c>
      <c r="J19" s="8" t="s">
        <v>991</v>
      </c>
      <c r="K19" s="7" t="n">
        <v>6</v>
      </c>
    </row>
    <row r="20" customFormat="false" ht="21.75" hidden="false" customHeight="true" outlineLevel="0" collapsed="false">
      <c r="B20" s="9" t="n">
        <v>16</v>
      </c>
      <c r="C20" s="10" t="s">
        <v>111</v>
      </c>
      <c r="D20" s="10" t="s">
        <v>112</v>
      </c>
      <c r="E20" s="10" t="s">
        <v>89</v>
      </c>
      <c r="F20" s="9" t="n">
        <v>7.53</v>
      </c>
      <c r="G20" s="10" t="s">
        <v>56</v>
      </c>
      <c r="H20" s="10" t="s">
        <v>56</v>
      </c>
      <c r="I20" s="10" t="s">
        <v>113</v>
      </c>
      <c r="J20" s="10" t="s">
        <v>992</v>
      </c>
      <c r="K20" s="9" t="n">
        <v>3</v>
      </c>
    </row>
    <row r="21" customFormat="false" ht="21.75" hidden="false" customHeight="true" outlineLevel="0" collapsed="false">
      <c r="B21" s="7" t="n">
        <v>17</v>
      </c>
      <c r="C21" s="8" t="s">
        <v>114</v>
      </c>
      <c r="D21" s="8" t="s">
        <v>115</v>
      </c>
      <c r="E21" s="8" t="s">
        <v>94</v>
      </c>
      <c r="F21" s="7" t="n">
        <v>7.53</v>
      </c>
      <c r="G21" s="8" t="s">
        <v>50</v>
      </c>
      <c r="H21" s="8" t="s">
        <v>51</v>
      </c>
      <c r="I21" s="8" t="s">
        <v>117</v>
      </c>
      <c r="J21" s="8" t="s">
        <v>993</v>
      </c>
      <c r="K21" s="7" t="n">
        <v>3</v>
      </c>
    </row>
    <row r="22" customFormat="false" ht="21.75" hidden="false" customHeight="true" outlineLevel="0" collapsed="false">
      <c r="B22" s="9" t="n">
        <v>18</v>
      </c>
      <c r="C22" s="10" t="s">
        <v>118</v>
      </c>
      <c r="D22" s="10" t="s">
        <v>119</v>
      </c>
      <c r="E22" s="10" t="s">
        <v>47</v>
      </c>
      <c r="F22" s="9" t="n">
        <v>7.48</v>
      </c>
      <c r="G22" s="10" t="s">
        <v>56</v>
      </c>
      <c r="H22" s="10" t="s">
        <v>56</v>
      </c>
      <c r="I22" s="10" t="s">
        <v>120</v>
      </c>
      <c r="J22" s="10" t="s">
        <v>994</v>
      </c>
      <c r="K22" s="9" t="n">
        <v>4</v>
      </c>
    </row>
    <row r="23" customFormat="false" ht="21.75" hidden="false" customHeight="true" outlineLevel="0" collapsed="false">
      <c r="B23" s="7" t="n">
        <v>19</v>
      </c>
      <c r="C23" s="8" t="s">
        <v>121</v>
      </c>
      <c r="D23" s="8" t="s">
        <v>122</v>
      </c>
      <c r="E23" s="8" t="s">
        <v>89</v>
      </c>
      <c r="F23" s="7" t="n">
        <v>7.42</v>
      </c>
      <c r="G23" s="8" t="s">
        <v>123</v>
      </c>
      <c r="H23" s="8" t="s">
        <v>51</v>
      </c>
      <c r="I23" s="8" t="s">
        <v>124</v>
      </c>
      <c r="J23" s="8" t="s">
        <v>995</v>
      </c>
      <c r="K23" s="7" t="n">
        <v>3</v>
      </c>
    </row>
    <row r="24" customFormat="false" ht="21.75" hidden="false" customHeight="true" outlineLevel="0" collapsed="false">
      <c r="B24" s="9" t="n">
        <v>20</v>
      </c>
      <c r="C24" s="10" t="s">
        <v>125</v>
      </c>
      <c r="D24" s="10" t="s">
        <v>126</v>
      </c>
      <c r="E24" s="10" t="s">
        <v>47</v>
      </c>
      <c r="F24" s="9" t="n">
        <v>7.4</v>
      </c>
      <c r="G24" s="10" t="s">
        <v>56</v>
      </c>
      <c r="H24" s="10" t="s">
        <v>56</v>
      </c>
      <c r="I24" s="10" t="s">
        <v>126</v>
      </c>
      <c r="J24" s="10" t="s">
        <v>996</v>
      </c>
      <c r="K24" s="9" t="n">
        <v>3</v>
      </c>
    </row>
    <row r="25" customFormat="false" ht="21.75" hidden="false" customHeight="true" outlineLevel="0" collapsed="false">
      <c r="B25" s="7" t="n">
        <v>21</v>
      </c>
      <c r="C25" s="8" t="s">
        <v>127</v>
      </c>
      <c r="D25" s="8" t="s">
        <v>128</v>
      </c>
      <c r="E25" s="8" t="s">
        <v>47</v>
      </c>
      <c r="F25" s="7" t="n">
        <v>7.4</v>
      </c>
      <c r="G25" s="8" t="s">
        <v>50</v>
      </c>
      <c r="H25" s="8" t="s">
        <v>51</v>
      </c>
      <c r="I25" s="8" t="s">
        <v>129</v>
      </c>
      <c r="J25" s="8" t="s">
        <v>997</v>
      </c>
      <c r="K25" s="7" t="n">
        <v>3</v>
      </c>
    </row>
    <row r="26" customFormat="false" ht="21.75" hidden="false" customHeight="true" outlineLevel="0" collapsed="false">
      <c r="B26" s="9" t="n">
        <v>22</v>
      </c>
      <c r="C26" s="10" t="s">
        <v>130</v>
      </c>
      <c r="D26" s="10" t="s">
        <v>131</v>
      </c>
      <c r="E26" s="10" t="s">
        <v>94</v>
      </c>
      <c r="F26" s="9" t="n">
        <v>7.4</v>
      </c>
      <c r="G26" s="10" t="s">
        <v>55</v>
      </c>
      <c r="H26" s="10" t="s">
        <v>56</v>
      </c>
      <c r="I26" s="10" t="s">
        <v>133</v>
      </c>
      <c r="J26" s="10" t="s">
        <v>998</v>
      </c>
      <c r="K26" s="9" t="n">
        <v>3</v>
      </c>
    </row>
    <row r="27" customFormat="false" ht="21.75" hidden="false" customHeight="true" outlineLevel="0" collapsed="false">
      <c r="B27" s="7" t="n">
        <v>23</v>
      </c>
      <c r="C27" s="8" t="s">
        <v>134</v>
      </c>
      <c r="D27" s="8" t="s">
        <v>135</v>
      </c>
      <c r="E27" s="8" t="s">
        <v>94</v>
      </c>
      <c r="F27" s="7" t="n">
        <v>7.4</v>
      </c>
      <c r="G27" s="8" t="s">
        <v>56</v>
      </c>
      <c r="H27" s="8" t="s">
        <v>56</v>
      </c>
      <c r="I27" s="8" t="s">
        <v>137</v>
      </c>
      <c r="J27" s="8" t="s">
        <v>999</v>
      </c>
      <c r="K27" s="7" t="n">
        <v>0</v>
      </c>
    </row>
    <row r="28" customFormat="false" ht="21.75" hidden="false" customHeight="true" outlineLevel="0" collapsed="false">
      <c r="B28" s="9" t="n">
        <v>24</v>
      </c>
      <c r="C28" s="10" t="s">
        <v>138</v>
      </c>
      <c r="D28" s="10" t="s">
        <v>139</v>
      </c>
      <c r="E28" s="10" t="s">
        <v>47</v>
      </c>
      <c r="F28" s="9" t="n">
        <v>7.4</v>
      </c>
      <c r="G28" s="10" t="s">
        <v>56</v>
      </c>
      <c r="H28" s="10" t="s">
        <v>56</v>
      </c>
      <c r="I28" s="10" t="s">
        <v>141</v>
      </c>
      <c r="J28" s="10" t="s">
        <v>1000</v>
      </c>
      <c r="K28" s="9" t="n">
        <v>0</v>
      </c>
    </row>
    <row r="29" customFormat="false" ht="21.75" hidden="false" customHeight="true" outlineLevel="0" collapsed="false">
      <c r="B29" s="7" t="n">
        <v>25</v>
      </c>
      <c r="C29" s="8" t="s">
        <v>142</v>
      </c>
      <c r="D29" s="8" t="s">
        <v>143</v>
      </c>
      <c r="E29" s="8" t="s">
        <v>89</v>
      </c>
      <c r="F29" s="7" t="n">
        <v>7.4</v>
      </c>
      <c r="G29" s="8" t="s">
        <v>55</v>
      </c>
      <c r="H29" s="8" t="s">
        <v>56</v>
      </c>
      <c r="I29" s="8" t="s">
        <v>145</v>
      </c>
      <c r="J29" s="8" t="s">
        <v>1001</v>
      </c>
      <c r="K29" s="7" t="n">
        <v>0</v>
      </c>
    </row>
    <row r="30" customFormat="false" ht="21.75" hidden="false" customHeight="true" outlineLevel="0" collapsed="false">
      <c r="B30" s="9" t="n">
        <v>26</v>
      </c>
      <c r="C30" s="10" t="s">
        <v>146</v>
      </c>
      <c r="D30" s="10" t="s">
        <v>147</v>
      </c>
      <c r="E30" s="10" t="s">
        <v>47</v>
      </c>
      <c r="F30" s="9" t="n">
        <v>7.35</v>
      </c>
      <c r="G30" s="10" t="s">
        <v>56</v>
      </c>
      <c r="H30" s="10" t="s">
        <v>56</v>
      </c>
      <c r="I30" s="10" t="s">
        <v>148</v>
      </c>
      <c r="J30" s="10" t="s">
        <v>1002</v>
      </c>
      <c r="K30" s="9" t="n">
        <v>2</v>
      </c>
    </row>
    <row r="31" customFormat="false" ht="21.75" hidden="false" customHeight="true" outlineLevel="0" collapsed="false">
      <c r="B31" s="7" t="n">
        <v>27</v>
      </c>
      <c r="C31" s="8" t="s">
        <v>149</v>
      </c>
      <c r="D31" s="8" t="s">
        <v>150</v>
      </c>
      <c r="E31" s="8" t="s">
        <v>47</v>
      </c>
      <c r="F31" s="7" t="n">
        <v>7.35</v>
      </c>
      <c r="G31" s="8" t="s">
        <v>55</v>
      </c>
      <c r="H31" s="8" t="s">
        <v>72</v>
      </c>
      <c r="I31" s="8" t="s">
        <v>151</v>
      </c>
      <c r="J31" s="8" t="s">
        <v>1003</v>
      </c>
      <c r="K31" s="7" t="n">
        <v>2</v>
      </c>
    </row>
    <row r="32" customFormat="false" ht="21.75" hidden="false" customHeight="true" outlineLevel="0" collapsed="false">
      <c r="B32" s="9" t="n">
        <v>28</v>
      </c>
      <c r="C32" s="10" t="s">
        <v>152</v>
      </c>
      <c r="D32" s="10" t="s">
        <v>153</v>
      </c>
      <c r="E32" s="10" t="s">
        <v>47</v>
      </c>
      <c r="F32" s="9" t="n">
        <v>7.33</v>
      </c>
      <c r="G32" s="10" t="s">
        <v>123</v>
      </c>
      <c r="H32" s="10" t="s">
        <v>51</v>
      </c>
      <c r="I32" s="10" t="s">
        <v>154</v>
      </c>
      <c r="J32" s="10" t="s">
        <v>1004</v>
      </c>
      <c r="K32" s="9" t="n">
        <v>3</v>
      </c>
    </row>
    <row r="33" customFormat="false" ht="21.75" hidden="false" customHeight="true" outlineLevel="0" collapsed="false">
      <c r="B33" s="7" t="n">
        <v>29</v>
      </c>
      <c r="C33" s="8" t="s">
        <v>155</v>
      </c>
      <c r="D33" s="8" t="s">
        <v>156</v>
      </c>
      <c r="E33" s="8" t="s">
        <v>94</v>
      </c>
      <c r="F33" s="7" t="n">
        <v>7.3</v>
      </c>
      <c r="G33" s="8" t="s">
        <v>50</v>
      </c>
      <c r="H33" s="8" t="s">
        <v>51</v>
      </c>
      <c r="I33" s="8" t="s">
        <v>158</v>
      </c>
      <c r="J33" s="8" t="s">
        <v>1005</v>
      </c>
      <c r="K33" s="7" t="n">
        <v>4</v>
      </c>
    </row>
    <row r="34" customFormat="false" ht="21.75" hidden="false" customHeight="true" outlineLevel="0" collapsed="false">
      <c r="B34" s="9" t="n">
        <v>30</v>
      </c>
      <c r="C34" s="10" t="s">
        <v>159</v>
      </c>
      <c r="D34" s="10" t="s">
        <v>160</v>
      </c>
      <c r="E34" s="10" t="s">
        <v>47</v>
      </c>
      <c r="F34" s="9" t="n">
        <v>7.3</v>
      </c>
      <c r="G34" s="10" t="s">
        <v>56</v>
      </c>
      <c r="H34" s="10" t="s">
        <v>56</v>
      </c>
      <c r="I34" s="10" t="s">
        <v>162</v>
      </c>
      <c r="J34" s="10" t="s">
        <v>1000</v>
      </c>
      <c r="K34" s="9" t="n">
        <v>0</v>
      </c>
    </row>
    <row r="35" customFormat="false" ht="21.75" hidden="false" customHeight="true" outlineLevel="0" collapsed="false">
      <c r="B35" s="7" t="n">
        <v>31</v>
      </c>
      <c r="C35" s="8" t="s">
        <v>163</v>
      </c>
      <c r="D35" s="8" t="s">
        <v>164</v>
      </c>
      <c r="E35" s="8" t="s">
        <v>47</v>
      </c>
      <c r="F35" s="7" t="n">
        <v>7.25</v>
      </c>
      <c r="G35" s="8" t="s">
        <v>50</v>
      </c>
      <c r="H35" s="8" t="s">
        <v>51</v>
      </c>
      <c r="I35" s="8" t="s">
        <v>165</v>
      </c>
      <c r="J35" s="8" t="s">
        <v>1006</v>
      </c>
      <c r="K35" s="7" t="n">
        <v>4</v>
      </c>
    </row>
    <row r="36" customFormat="false" ht="21.75" hidden="false" customHeight="true" outlineLevel="0" collapsed="false">
      <c r="B36" s="9" t="n">
        <v>32</v>
      </c>
      <c r="C36" s="10" t="s">
        <v>166</v>
      </c>
      <c r="D36" s="10" t="s">
        <v>167</v>
      </c>
      <c r="E36" s="10" t="s">
        <v>47</v>
      </c>
      <c r="F36" s="9" t="n">
        <v>7.25</v>
      </c>
      <c r="G36" s="10" t="s">
        <v>56</v>
      </c>
      <c r="H36" s="10" t="s">
        <v>72</v>
      </c>
      <c r="I36" s="10" t="s">
        <v>168</v>
      </c>
      <c r="J36" s="10" t="s">
        <v>1007</v>
      </c>
      <c r="K36" s="9" t="n">
        <v>3</v>
      </c>
    </row>
    <row r="37" customFormat="false" ht="21.75" hidden="false" customHeight="true" outlineLevel="0" collapsed="false">
      <c r="B37" s="7" t="n">
        <v>33</v>
      </c>
      <c r="C37" s="8" t="s">
        <v>169</v>
      </c>
      <c r="D37" s="8" t="s">
        <v>170</v>
      </c>
      <c r="E37" s="8" t="s">
        <v>47</v>
      </c>
      <c r="F37" s="7" t="n">
        <v>7.25</v>
      </c>
      <c r="G37" s="8" t="s">
        <v>56</v>
      </c>
      <c r="H37" s="8" t="s">
        <v>56</v>
      </c>
      <c r="I37" s="8" t="s">
        <v>172</v>
      </c>
      <c r="J37" s="8" t="s">
        <v>1008</v>
      </c>
      <c r="K37" s="7" t="n">
        <v>0</v>
      </c>
    </row>
    <row r="38" customFormat="false" ht="21.75" hidden="false" customHeight="true" outlineLevel="0" collapsed="false">
      <c r="B38" s="9" t="n">
        <v>34</v>
      </c>
      <c r="C38" s="10" t="s">
        <v>173</v>
      </c>
      <c r="D38" s="10" t="s">
        <v>174</v>
      </c>
      <c r="E38" s="10" t="s">
        <v>47</v>
      </c>
      <c r="F38" s="9" t="n">
        <v>7.22</v>
      </c>
      <c r="G38" s="10" t="s">
        <v>56</v>
      </c>
      <c r="H38" s="10" t="s">
        <v>56</v>
      </c>
      <c r="I38" s="10" t="s">
        <v>175</v>
      </c>
      <c r="J38" s="10" t="s">
        <v>1009</v>
      </c>
      <c r="K38" s="9" t="n">
        <v>3</v>
      </c>
    </row>
    <row r="39" customFormat="false" ht="21.75" hidden="false" customHeight="true" outlineLevel="0" collapsed="false">
      <c r="B39" s="7" t="n">
        <v>35</v>
      </c>
      <c r="C39" s="8" t="s">
        <v>176</v>
      </c>
      <c r="D39" s="8" t="s">
        <v>177</v>
      </c>
      <c r="E39" s="8" t="s">
        <v>89</v>
      </c>
      <c r="F39" s="7" t="n">
        <v>7.17</v>
      </c>
      <c r="G39" s="8" t="s">
        <v>56</v>
      </c>
      <c r="H39" s="8" t="s">
        <v>56</v>
      </c>
      <c r="I39" s="8" t="s">
        <v>178</v>
      </c>
      <c r="J39" s="8" t="s">
        <v>1010</v>
      </c>
      <c r="K39" s="7" t="n">
        <v>4</v>
      </c>
    </row>
    <row r="40" customFormat="false" ht="21.75" hidden="false" customHeight="true" outlineLevel="0" collapsed="false">
      <c r="B40" s="9" t="n">
        <v>36</v>
      </c>
      <c r="C40" s="10" t="s">
        <v>179</v>
      </c>
      <c r="D40" s="10" t="s">
        <v>180</v>
      </c>
      <c r="E40" s="10" t="s">
        <v>47</v>
      </c>
      <c r="F40" s="9" t="n">
        <v>7.15</v>
      </c>
      <c r="G40" s="10" t="s">
        <v>123</v>
      </c>
      <c r="H40" s="10" t="s">
        <v>51</v>
      </c>
      <c r="I40" s="10" t="s">
        <v>180</v>
      </c>
      <c r="J40" s="10" t="s">
        <v>1011</v>
      </c>
      <c r="K40" s="9" t="n">
        <v>3</v>
      </c>
    </row>
    <row r="41" customFormat="false" ht="21.75" hidden="false" customHeight="true" outlineLevel="0" collapsed="false">
      <c r="B41" s="7" t="n">
        <v>37</v>
      </c>
      <c r="C41" s="8" t="s">
        <v>181</v>
      </c>
      <c r="D41" s="8" t="s">
        <v>182</v>
      </c>
      <c r="E41" s="8" t="s">
        <v>89</v>
      </c>
      <c r="F41" s="7" t="n">
        <v>7.15</v>
      </c>
      <c r="G41" s="8" t="s">
        <v>56</v>
      </c>
      <c r="H41" s="8" t="s">
        <v>56</v>
      </c>
      <c r="I41" s="8" t="s">
        <v>183</v>
      </c>
      <c r="J41" s="8" t="s">
        <v>1012</v>
      </c>
      <c r="K41" s="7" t="n">
        <v>5</v>
      </c>
    </row>
    <row r="42" customFormat="false" ht="21.75" hidden="false" customHeight="true" outlineLevel="0" collapsed="false">
      <c r="B42" s="9" t="n">
        <v>38</v>
      </c>
      <c r="C42" s="10" t="s">
        <v>184</v>
      </c>
      <c r="D42" s="10" t="s">
        <v>185</v>
      </c>
      <c r="E42" s="10" t="s">
        <v>94</v>
      </c>
      <c r="F42" s="9" t="n">
        <v>7.15</v>
      </c>
      <c r="G42" s="10" t="s">
        <v>56</v>
      </c>
      <c r="H42" s="10" t="s">
        <v>56</v>
      </c>
      <c r="I42" s="10" t="s">
        <v>187</v>
      </c>
      <c r="J42" s="10" t="s">
        <v>1013</v>
      </c>
      <c r="K42" s="9" t="n">
        <v>0</v>
      </c>
    </row>
    <row r="43" customFormat="false" ht="21.75" hidden="false" customHeight="true" outlineLevel="0" collapsed="false">
      <c r="B43" s="7" t="n">
        <v>39</v>
      </c>
      <c r="C43" s="8" t="s">
        <v>188</v>
      </c>
      <c r="D43" s="8" t="s">
        <v>189</v>
      </c>
      <c r="E43" s="8" t="s">
        <v>47</v>
      </c>
      <c r="F43" s="7" t="n">
        <v>7.15</v>
      </c>
      <c r="G43" s="8" t="s">
        <v>56</v>
      </c>
      <c r="H43" s="8" t="s">
        <v>56</v>
      </c>
      <c r="I43" s="8" t="s">
        <v>191</v>
      </c>
      <c r="J43" s="8" t="s">
        <v>984</v>
      </c>
      <c r="K43" s="7" t="n">
        <v>0</v>
      </c>
    </row>
    <row r="44" customFormat="false" ht="21.75" hidden="false" customHeight="true" outlineLevel="0" collapsed="false">
      <c r="B44" s="9" t="n">
        <v>40</v>
      </c>
      <c r="C44" s="10" t="s">
        <v>192</v>
      </c>
      <c r="D44" s="10" t="s">
        <v>193</v>
      </c>
      <c r="E44" s="10" t="s">
        <v>47</v>
      </c>
      <c r="F44" s="9" t="n">
        <v>7.12</v>
      </c>
      <c r="G44" s="10" t="s">
        <v>123</v>
      </c>
      <c r="H44" s="10" t="s">
        <v>51</v>
      </c>
      <c r="I44" s="10" t="s">
        <v>194</v>
      </c>
      <c r="J44" s="10" t="s">
        <v>1014</v>
      </c>
      <c r="K44" s="9" t="n">
        <v>2</v>
      </c>
    </row>
    <row r="45" customFormat="false" ht="21.75" hidden="false" customHeight="true" outlineLevel="0" collapsed="false">
      <c r="B45" s="7" t="n">
        <v>41</v>
      </c>
      <c r="C45" s="8" t="s">
        <v>195</v>
      </c>
      <c r="D45" s="8" t="s">
        <v>196</v>
      </c>
      <c r="E45" s="8" t="s">
        <v>76</v>
      </c>
      <c r="F45" s="7" t="n">
        <v>7.12</v>
      </c>
      <c r="G45" s="8" t="s">
        <v>50</v>
      </c>
      <c r="H45" s="8" t="s">
        <v>51</v>
      </c>
      <c r="I45" s="8" t="s">
        <v>1015</v>
      </c>
      <c r="J45" s="8" t="s">
        <v>1016</v>
      </c>
      <c r="K45" s="7" t="n">
        <v>5</v>
      </c>
    </row>
    <row r="46" customFormat="false" ht="21.75" hidden="false" customHeight="true" outlineLevel="0" collapsed="false">
      <c r="B46" s="9" t="n">
        <v>42</v>
      </c>
      <c r="C46" s="10" t="s">
        <v>198</v>
      </c>
      <c r="D46" s="10" t="s">
        <v>199</v>
      </c>
      <c r="E46" s="10" t="s">
        <v>47</v>
      </c>
      <c r="F46" s="9" t="n">
        <v>7.1</v>
      </c>
      <c r="G46" s="10" t="s">
        <v>123</v>
      </c>
      <c r="H46" s="10" t="s">
        <v>51</v>
      </c>
      <c r="I46" s="10" t="s">
        <v>200</v>
      </c>
      <c r="J46" s="10" t="s">
        <v>1017</v>
      </c>
      <c r="K46" s="9" t="n">
        <v>2</v>
      </c>
    </row>
    <row r="47" customFormat="false" ht="21.75" hidden="false" customHeight="true" outlineLevel="0" collapsed="false">
      <c r="B47" s="7" t="n">
        <v>43</v>
      </c>
      <c r="C47" s="8" t="s">
        <v>201</v>
      </c>
      <c r="D47" s="8" t="s">
        <v>202</v>
      </c>
      <c r="E47" s="8" t="s">
        <v>76</v>
      </c>
      <c r="F47" s="7" t="n">
        <v>7.1</v>
      </c>
      <c r="G47" s="8" t="s">
        <v>50</v>
      </c>
      <c r="H47" s="8" t="s">
        <v>51</v>
      </c>
      <c r="I47" s="8" t="s">
        <v>1018</v>
      </c>
      <c r="J47" s="8" t="s">
        <v>1019</v>
      </c>
      <c r="K47" s="7" t="n">
        <v>4</v>
      </c>
    </row>
    <row r="48" customFormat="false" ht="21.75" hidden="false" customHeight="true" outlineLevel="0" collapsed="false">
      <c r="B48" s="9" t="n">
        <v>44</v>
      </c>
      <c r="C48" s="10" t="s">
        <v>204</v>
      </c>
      <c r="D48" s="10" t="s">
        <v>205</v>
      </c>
      <c r="E48" s="10" t="s">
        <v>94</v>
      </c>
      <c r="F48" s="9" t="n">
        <v>7.1</v>
      </c>
      <c r="G48" s="10" t="s">
        <v>50</v>
      </c>
      <c r="H48" s="10" t="s">
        <v>51</v>
      </c>
      <c r="I48" s="10" t="s">
        <v>207</v>
      </c>
      <c r="J48" s="10" t="s">
        <v>999</v>
      </c>
      <c r="K48" s="9" t="n">
        <v>0</v>
      </c>
    </row>
    <row r="49" customFormat="false" ht="21.75" hidden="false" customHeight="true" outlineLevel="0" collapsed="false">
      <c r="B49" s="7" t="n">
        <v>45</v>
      </c>
      <c r="C49" s="8" t="s">
        <v>208</v>
      </c>
      <c r="D49" s="8" t="s">
        <v>209</v>
      </c>
      <c r="E49" s="8" t="s">
        <v>89</v>
      </c>
      <c r="F49" s="7" t="n">
        <v>7.05</v>
      </c>
      <c r="G49" s="8" t="s">
        <v>56</v>
      </c>
      <c r="H49" s="8" t="s">
        <v>56</v>
      </c>
      <c r="I49" s="8" t="s">
        <v>210</v>
      </c>
      <c r="J49" s="8" t="s">
        <v>1020</v>
      </c>
      <c r="K49" s="7" t="n">
        <v>3</v>
      </c>
    </row>
    <row r="50" customFormat="false" ht="21.75" hidden="false" customHeight="true" outlineLevel="0" collapsed="false">
      <c r="B50" s="9" t="n">
        <v>46</v>
      </c>
      <c r="C50" s="10" t="s">
        <v>211</v>
      </c>
      <c r="D50" s="10" t="s">
        <v>212</v>
      </c>
      <c r="E50" s="10" t="s">
        <v>76</v>
      </c>
      <c r="F50" s="9" t="n">
        <v>7.05</v>
      </c>
      <c r="G50" s="10" t="s">
        <v>56</v>
      </c>
      <c r="H50" s="10" t="s">
        <v>56</v>
      </c>
      <c r="I50" s="10" t="s">
        <v>1021</v>
      </c>
      <c r="J50" s="10" t="s">
        <v>1022</v>
      </c>
      <c r="K50" s="9" t="n">
        <v>4</v>
      </c>
    </row>
    <row r="51" customFormat="false" ht="21.75" hidden="false" customHeight="true" outlineLevel="0" collapsed="false">
      <c r="B51" s="7" t="n">
        <v>47</v>
      </c>
      <c r="C51" s="8" t="s">
        <v>214</v>
      </c>
      <c r="D51" s="8" t="s">
        <v>215</v>
      </c>
      <c r="E51" s="8" t="s">
        <v>47</v>
      </c>
      <c r="F51" s="7" t="n">
        <v>7.03</v>
      </c>
      <c r="G51" s="8" t="s">
        <v>123</v>
      </c>
      <c r="H51" s="8" t="s">
        <v>51</v>
      </c>
      <c r="I51" s="8" t="s">
        <v>216</v>
      </c>
      <c r="J51" s="8" t="s">
        <v>1023</v>
      </c>
      <c r="K51" s="7" t="n">
        <v>3</v>
      </c>
    </row>
    <row r="52" customFormat="false" ht="21.75" hidden="false" customHeight="true" outlineLevel="0" collapsed="false">
      <c r="B52" s="9" t="n">
        <v>48</v>
      </c>
      <c r="C52" s="10" t="s">
        <v>217</v>
      </c>
      <c r="D52" s="10" t="s">
        <v>218</v>
      </c>
      <c r="E52" s="10" t="s">
        <v>47</v>
      </c>
      <c r="F52" s="9" t="n">
        <v>7.03</v>
      </c>
      <c r="G52" s="10" t="s">
        <v>56</v>
      </c>
      <c r="H52" s="10" t="s">
        <v>56</v>
      </c>
      <c r="I52" s="10" t="s">
        <v>219</v>
      </c>
      <c r="J52" s="10" t="s">
        <v>1024</v>
      </c>
      <c r="K52" s="9" t="n">
        <v>3</v>
      </c>
    </row>
    <row r="53" customFormat="false" ht="21.75" hidden="false" customHeight="true" outlineLevel="0" collapsed="false">
      <c r="B53" s="7" t="n">
        <v>49</v>
      </c>
      <c r="C53" s="8" t="s">
        <v>220</v>
      </c>
      <c r="D53" s="8" t="s">
        <v>221</v>
      </c>
      <c r="E53" s="8" t="s">
        <v>89</v>
      </c>
      <c r="F53" s="7" t="n">
        <v>7.03</v>
      </c>
      <c r="G53" s="8" t="s">
        <v>55</v>
      </c>
      <c r="H53" s="8" t="s">
        <v>56</v>
      </c>
      <c r="I53" s="8" t="s">
        <v>222</v>
      </c>
      <c r="J53" s="8" t="s">
        <v>1025</v>
      </c>
      <c r="K53" s="7" t="n">
        <v>4</v>
      </c>
    </row>
    <row r="54" customFormat="false" ht="21.75" hidden="false" customHeight="true" outlineLevel="0" collapsed="false">
      <c r="B54" s="9" t="n">
        <v>50</v>
      </c>
      <c r="C54" s="10" t="s">
        <v>223</v>
      </c>
      <c r="D54" s="10" t="s">
        <v>224</v>
      </c>
      <c r="E54" s="10" t="s">
        <v>89</v>
      </c>
      <c r="F54" s="9" t="n">
        <v>7.03</v>
      </c>
      <c r="G54" s="10" t="s">
        <v>55</v>
      </c>
      <c r="H54" s="10" t="s">
        <v>56</v>
      </c>
      <c r="I54" s="10" t="s">
        <v>225</v>
      </c>
      <c r="J54" s="10" t="s">
        <v>1026</v>
      </c>
      <c r="K54" s="9" t="n">
        <v>5</v>
      </c>
    </row>
  </sheetData>
  <autoFilter ref="B4:K54"/>
  <mergeCells count="1">
    <mergeCell ref="B2:K2"/>
  </mergeCells>
  <conditionalFormatting sqref="F5:F5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8"/>
    <col collapsed="false" customWidth="true" hidden="false" outlineLevel="0" max="5" min="4" style="1" width="10"/>
    <col collapsed="false" customWidth="true" hidden="false" outlineLevel="0" max="7" min="6" style="1" width="7"/>
    <col collapsed="false" customWidth="true" hidden="false" outlineLevel="0" max="9" min="8" style="1" width="8"/>
    <col collapsed="false" customWidth="true" hidden="false" outlineLevel="0" max="11" min="10" style="1" width="9"/>
    <col collapsed="false" customWidth="true" hidden="false" outlineLevel="0" max="13" min="12" style="1" width="13"/>
  </cols>
  <sheetData>
    <row r="2" customFormat="false" ht="31.5" hidden="false" customHeight="true" outlineLevel="0" collapsed="false">
      <c r="B2" s="2" t="s">
        <v>1027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24</v>
      </c>
      <c r="C4" s="6" t="s">
        <v>1028</v>
      </c>
      <c r="D4" s="6" t="s">
        <v>1029</v>
      </c>
      <c r="E4" s="6" t="s">
        <v>1030</v>
      </c>
      <c r="F4" s="6" t="s">
        <v>55</v>
      </c>
      <c r="G4" s="6" t="s">
        <v>56</v>
      </c>
      <c r="H4" s="6" t="s">
        <v>50</v>
      </c>
      <c r="I4" s="6" t="s">
        <v>123</v>
      </c>
      <c r="J4" s="6" t="s">
        <v>1031</v>
      </c>
      <c r="K4" s="6" t="s">
        <v>1032</v>
      </c>
      <c r="L4" s="6" t="s">
        <v>1033</v>
      </c>
      <c r="M4" s="6" t="s">
        <v>41</v>
      </c>
    </row>
    <row r="5" customFormat="false" ht="21.75" hidden="false" customHeight="true" outlineLevel="0" collapsed="false">
      <c r="B5" s="8" t="s">
        <v>47</v>
      </c>
      <c r="C5" s="7" t="n">
        <v>60</v>
      </c>
      <c r="D5" s="7" t="n">
        <v>6.87</v>
      </c>
      <c r="E5" s="7" t="n">
        <v>8.2</v>
      </c>
      <c r="F5" s="7" t="n">
        <v>10</v>
      </c>
      <c r="G5" s="7" t="n">
        <v>18</v>
      </c>
      <c r="H5" s="7" t="n">
        <v>15</v>
      </c>
      <c r="I5" s="7" t="n">
        <v>17</v>
      </c>
      <c r="J5" s="7" t="n">
        <v>26</v>
      </c>
      <c r="K5" s="7" t="n">
        <v>1</v>
      </c>
      <c r="L5" s="7" t="n">
        <v>946</v>
      </c>
      <c r="M5" s="7" t="n">
        <v>845</v>
      </c>
    </row>
    <row r="6" customFormat="false" ht="21.75" hidden="false" customHeight="true" outlineLevel="0" collapsed="false">
      <c r="B6" s="10" t="s">
        <v>89</v>
      </c>
      <c r="C6" s="9" t="n">
        <v>52</v>
      </c>
      <c r="D6" s="9" t="n">
        <v>6.44</v>
      </c>
      <c r="E6" s="9" t="n">
        <v>7.58</v>
      </c>
      <c r="F6" s="9" t="n">
        <v>14</v>
      </c>
      <c r="G6" s="9" t="n">
        <v>19</v>
      </c>
      <c r="H6" s="9" t="n">
        <v>2</v>
      </c>
      <c r="I6" s="9" t="n">
        <v>17</v>
      </c>
      <c r="J6" s="9" t="n">
        <v>30</v>
      </c>
      <c r="K6" s="9" t="n">
        <v>1</v>
      </c>
      <c r="L6" s="9" t="n">
        <v>858</v>
      </c>
      <c r="M6" s="9" t="n">
        <v>710</v>
      </c>
    </row>
    <row r="7" customFormat="false" ht="21.75" hidden="false" customHeight="true" outlineLevel="0" collapsed="false">
      <c r="B7" s="8" t="s">
        <v>94</v>
      </c>
      <c r="C7" s="7" t="n">
        <v>55</v>
      </c>
      <c r="D7" s="7" t="n">
        <v>6.23</v>
      </c>
      <c r="E7" s="7" t="n">
        <v>7.58</v>
      </c>
      <c r="F7" s="7" t="n">
        <v>3</v>
      </c>
      <c r="G7" s="7" t="n">
        <v>11</v>
      </c>
      <c r="H7" s="7" t="n">
        <v>14</v>
      </c>
      <c r="I7" s="7" t="n">
        <v>27</v>
      </c>
      <c r="J7" s="7" t="n">
        <v>9</v>
      </c>
      <c r="K7" s="7" t="n">
        <v>7</v>
      </c>
      <c r="L7" s="7" t="n">
        <v>837</v>
      </c>
      <c r="M7" s="7" t="n">
        <v>805</v>
      </c>
    </row>
    <row r="8" customFormat="false" ht="21.75" hidden="false" customHeight="true" outlineLevel="0" collapsed="false">
      <c r="B8" s="10" t="s">
        <v>258</v>
      </c>
      <c r="C8" s="9" t="n">
        <v>4</v>
      </c>
      <c r="D8" s="9" t="n">
        <v>6.09</v>
      </c>
      <c r="E8" s="9" t="n">
        <v>6.9</v>
      </c>
      <c r="F8" s="9" t="n">
        <v>2</v>
      </c>
      <c r="G8" s="9" t="n">
        <v>1</v>
      </c>
      <c r="H8" s="9" t="n">
        <v>0</v>
      </c>
      <c r="I8" s="9" t="n">
        <v>1</v>
      </c>
      <c r="J8" s="9" t="n">
        <v>0</v>
      </c>
      <c r="K8" s="9" t="n">
        <v>0</v>
      </c>
      <c r="L8" s="9" t="n">
        <v>133</v>
      </c>
      <c r="M8" s="9" t="n">
        <v>100</v>
      </c>
    </row>
    <row r="9" customFormat="false" ht="21.75" hidden="false" customHeight="true" outlineLevel="0" collapsed="false">
      <c r="B9" s="8" t="s">
        <v>76</v>
      </c>
      <c r="C9" s="7" t="n">
        <v>48</v>
      </c>
      <c r="D9" s="7" t="n">
        <v>5.94</v>
      </c>
      <c r="E9" s="7" t="n">
        <v>7.6</v>
      </c>
      <c r="F9" s="7" t="n">
        <v>3</v>
      </c>
      <c r="G9" s="7" t="n">
        <v>14</v>
      </c>
      <c r="H9" s="7" t="n">
        <v>7</v>
      </c>
      <c r="I9" s="7" t="n">
        <v>24</v>
      </c>
      <c r="J9" s="7" t="n">
        <v>14</v>
      </c>
      <c r="K9" s="7" t="n">
        <v>6</v>
      </c>
      <c r="L9" s="7" t="n">
        <v>1488</v>
      </c>
      <c r="M9" s="7" t="n">
        <v>1355</v>
      </c>
    </row>
    <row r="10" customFormat="false" ht="21.75" hidden="false" customHeight="true" outlineLevel="0" collapsed="false">
      <c r="B10" s="10" t="s">
        <v>305</v>
      </c>
      <c r="C10" s="9" t="n">
        <v>7</v>
      </c>
      <c r="D10" s="9" t="n">
        <v>5.87</v>
      </c>
      <c r="E10" s="9" t="n">
        <v>6.75</v>
      </c>
      <c r="F10" s="9" t="n">
        <v>0</v>
      </c>
      <c r="G10" s="9" t="n">
        <v>1</v>
      </c>
      <c r="H10" s="9" t="n">
        <v>4</v>
      </c>
      <c r="I10" s="9" t="n">
        <v>2</v>
      </c>
      <c r="J10" s="9" t="n">
        <v>0</v>
      </c>
      <c r="K10" s="9" t="n">
        <v>0</v>
      </c>
      <c r="L10" s="9" t="n">
        <v>102</v>
      </c>
      <c r="M10" s="9" t="n">
        <v>70</v>
      </c>
    </row>
    <row r="11" customFormat="false" ht="21.75" hidden="false" customHeight="true" outlineLevel="0" collapsed="false">
      <c r="B11" s="8" t="s">
        <v>350</v>
      </c>
      <c r="C11" s="7" t="n">
        <v>21</v>
      </c>
      <c r="D11" s="7" t="n">
        <v>5.77</v>
      </c>
      <c r="E11" s="7" t="n">
        <v>6.6</v>
      </c>
      <c r="F11" s="7" t="n">
        <v>0</v>
      </c>
      <c r="G11" s="7" t="n">
        <v>1</v>
      </c>
      <c r="H11" s="7" t="n">
        <v>11</v>
      </c>
      <c r="I11" s="7" t="n">
        <v>9</v>
      </c>
      <c r="J11" s="7" t="n">
        <v>0</v>
      </c>
      <c r="K11" s="7" t="n">
        <v>0</v>
      </c>
      <c r="L11" s="7" t="n">
        <v>128</v>
      </c>
      <c r="M11" s="7" t="n">
        <v>210</v>
      </c>
    </row>
    <row r="12" customFormat="false" ht="25.5" hidden="false" customHeight="true" outlineLevel="0" collapsed="false">
      <c r="B12" s="11" t="s">
        <v>1034</v>
      </c>
      <c r="C12" s="12" t="n">
        <v>247</v>
      </c>
      <c r="D12" s="12" t="n">
        <v>6.32</v>
      </c>
      <c r="E12" s="12" t="n">
        <v>8.2</v>
      </c>
      <c r="F12" s="12" t="n">
        <v>32</v>
      </c>
      <c r="G12" s="12" t="n">
        <v>65</v>
      </c>
      <c r="H12" s="12" t="n">
        <v>53</v>
      </c>
      <c r="I12" s="12" t="n">
        <v>97</v>
      </c>
      <c r="J12" s="12" t="n">
        <v>79</v>
      </c>
      <c r="K12" s="12" t="n">
        <v>15</v>
      </c>
      <c r="L12" s="12" t="n">
        <v>4492</v>
      </c>
      <c r="M12" s="12" t="n">
        <v>4095</v>
      </c>
    </row>
    <row r="14" customFormat="false" ht="22.35" hidden="false" customHeight="true" outlineLevel="0" collapsed="false">
      <c r="B14" s="5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</sheetData>
  <mergeCells count="2">
    <mergeCell ref="B2:L2"/>
    <mergeCell ref="B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0"/>
    <col collapsed="false" customWidth="true" hidden="false" outlineLevel="0" max="4" min="4" style="1" width="9"/>
    <col collapsed="false" customWidth="true" hidden="false" outlineLevel="0" max="5" min="5" style="1" width="30"/>
    <col collapsed="false" customWidth="true" hidden="false" outlineLevel="0" max="6" min="6" style="1" width="46"/>
    <col collapsed="false" customWidth="true" hidden="false" outlineLevel="0" max="7" min="7" style="1" width="22"/>
    <col collapsed="false" customWidth="true" hidden="false" outlineLevel="0" max="8" min="8" style="1" width="40"/>
    <col collapsed="false" customWidth="true" hidden="false" outlineLevel="0" max="9" min="9" style="1" width="46"/>
  </cols>
  <sheetData>
    <row r="2" customFormat="false" ht="31.5" hidden="false" customHeight="true" outlineLevel="0" collapsed="false">
      <c r="B2" s="2" t="s">
        <v>1036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39</v>
      </c>
      <c r="C4" s="6" t="s">
        <v>1037</v>
      </c>
      <c r="D4" s="6" t="s">
        <v>1038</v>
      </c>
      <c r="E4" s="6" t="s">
        <v>1039</v>
      </c>
      <c r="F4" s="6" t="s">
        <v>1040</v>
      </c>
      <c r="G4" s="6" t="s">
        <v>1041</v>
      </c>
      <c r="H4" s="6" t="s">
        <v>1042</v>
      </c>
      <c r="I4" s="6" t="s">
        <v>1043</v>
      </c>
    </row>
    <row r="5" customFormat="false" ht="21.75" hidden="false" customHeight="true" outlineLevel="0" collapsed="false">
      <c r="B5" s="8" t="s">
        <v>51</v>
      </c>
      <c r="C5" s="8" t="s">
        <v>1044</v>
      </c>
      <c r="D5" s="8" t="s">
        <v>1044</v>
      </c>
      <c r="E5" s="8" t="s">
        <v>1045</v>
      </c>
      <c r="F5" s="8" t="s">
        <v>1046</v>
      </c>
      <c r="G5" s="8" t="s">
        <v>1047</v>
      </c>
      <c r="H5" s="8" t="s">
        <v>1048</v>
      </c>
      <c r="I5" s="8" t="s">
        <v>1049</v>
      </c>
    </row>
    <row r="6" customFormat="false" ht="21.75" hidden="false" customHeight="true" outlineLevel="0" collapsed="false">
      <c r="B6" s="10" t="s">
        <v>56</v>
      </c>
      <c r="C6" s="10" t="s">
        <v>1050</v>
      </c>
      <c r="D6" s="10" t="s">
        <v>1051</v>
      </c>
      <c r="E6" s="10" t="s">
        <v>1052</v>
      </c>
      <c r="F6" s="10" t="s">
        <v>1053</v>
      </c>
      <c r="G6" s="10" t="s">
        <v>1054</v>
      </c>
      <c r="H6" s="10" t="s">
        <v>1055</v>
      </c>
      <c r="I6" s="10" t="s">
        <v>1056</v>
      </c>
    </row>
    <row r="7" customFormat="false" ht="21.75" hidden="false" customHeight="true" outlineLevel="0" collapsed="false">
      <c r="B7" s="8" t="s">
        <v>1057</v>
      </c>
      <c r="C7" s="8" t="s">
        <v>1058</v>
      </c>
      <c r="D7" s="8" t="s">
        <v>1059</v>
      </c>
      <c r="E7" s="8" t="s">
        <v>1060</v>
      </c>
      <c r="F7" s="8" t="s">
        <v>1061</v>
      </c>
      <c r="G7" s="8" t="s">
        <v>1062</v>
      </c>
      <c r="H7" s="8" t="s">
        <v>1063</v>
      </c>
      <c r="I7" s="8" t="s">
        <v>1064</v>
      </c>
    </row>
    <row r="8" customFormat="false" ht="21.75" hidden="false" customHeight="true" outlineLevel="0" collapsed="false">
      <c r="B8" s="10" t="s">
        <v>72</v>
      </c>
      <c r="C8" s="10" t="s">
        <v>1065</v>
      </c>
      <c r="D8" s="10" t="s">
        <v>1066</v>
      </c>
      <c r="E8" s="10" t="s">
        <v>1067</v>
      </c>
      <c r="F8" s="10" t="s">
        <v>1068</v>
      </c>
      <c r="G8" s="10" t="s">
        <v>1069</v>
      </c>
      <c r="H8" s="10" t="s">
        <v>1070</v>
      </c>
      <c r="I8" s="10" t="s">
        <v>1071</v>
      </c>
    </row>
    <row r="10" customFormat="false" ht="24" hidden="false" customHeight="true" outlineLevel="0" collapsed="false">
      <c r="B10" s="3" t="s">
        <v>1072</v>
      </c>
      <c r="C10" s="3"/>
      <c r="D10" s="3"/>
      <c r="E10" s="3"/>
      <c r="F10" s="3"/>
      <c r="G10" s="3"/>
      <c r="H10" s="3"/>
      <c r="I10" s="3"/>
    </row>
    <row r="12" customFormat="false" ht="21.75" hidden="false" customHeight="true" outlineLevel="0" collapsed="false">
      <c r="B12" s="10" t="s">
        <v>1073</v>
      </c>
      <c r="C12" s="10" t="s">
        <v>1044</v>
      </c>
      <c r="D12" s="10" t="s">
        <v>1074</v>
      </c>
      <c r="E12" s="10"/>
      <c r="F12" s="10"/>
      <c r="G12" s="10"/>
      <c r="H12" s="10"/>
      <c r="I12" s="10"/>
    </row>
    <row r="13" customFormat="false" ht="21.75" hidden="false" customHeight="true" outlineLevel="0" collapsed="false">
      <c r="B13" s="8" t="s">
        <v>1075</v>
      </c>
      <c r="C13" s="8" t="s">
        <v>1044</v>
      </c>
      <c r="D13" s="8" t="s">
        <v>1076</v>
      </c>
      <c r="E13" s="8"/>
      <c r="F13" s="8"/>
      <c r="G13" s="8"/>
      <c r="H13" s="8"/>
      <c r="I13" s="8"/>
    </row>
    <row r="14" customFormat="false" ht="21.75" hidden="false" customHeight="true" outlineLevel="0" collapsed="false">
      <c r="B14" s="10" t="s">
        <v>1077</v>
      </c>
      <c r="C14" s="10" t="s">
        <v>1078</v>
      </c>
      <c r="D14" s="10" t="s">
        <v>1079</v>
      </c>
      <c r="E14" s="10"/>
      <c r="F14" s="10"/>
      <c r="G14" s="10"/>
      <c r="H14" s="10"/>
      <c r="I14" s="10"/>
    </row>
    <row r="15" customFormat="false" ht="21.75" hidden="false" customHeight="true" outlineLevel="0" collapsed="false">
      <c r="B15" s="8" t="s">
        <v>1080</v>
      </c>
      <c r="C15" s="8" t="s">
        <v>1081</v>
      </c>
      <c r="D15" s="8" t="s">
        <v>1082</v>
      </c>
      <c r="E15" s="8"/>
      <c r="F15" s="8"/>
      <c r="G15" s="8"/>
      <c r="H15" s="8"/>
      <c r="I15" s="8"/>
    </row>
    <row r="16" customFormat="false" ht="21.75" hidden="false" customHeight="true" outlineLevel="0" collapsed="false">
      <c r="B16" s="10" t="s">
        <v>1083</v>
      </c>
      <c r="C16" s="10" t="s">
        <v>1084</v>
      </c>
      <c r="D16" s="10" t="s">
        <v>1085</v>
      </c>
      <c r="E16" s="10"/>
      <c r="F16" s="10"/>
      <c r="G16" s="10"/>
      <c r="H16" s="10"/>
      <c r="I16" s="10"/>
    </row>
    <row r="18" customFormat="false" ht="15" hidden="false" customHeight="true" outlineLevel="0" collapsed="false">
      <c r="B18" s="5" t="s">
        <v>1086</v>
      </c>
      <c r="C18" s="5"/>
      <c r="D18" s="5"/>
      <c r="E18" s="5"/>
      <c r="F18" s="5"/>
      <c r="G18" s="5"/>
      <c r="H18" s="5"/>
      <c r="I18" s="5"/>
    </row>
  </sheetData>
  <mergeCells count="3">
    <mergeCell ref="B2:I2"/>
    <mergeCell ref="B10:I10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0" min="10" style="1" width="44"/>
    <col collapsed="false" customWidth="true" hidden="false" outlineLevel="0" max="11" min="11" style="1" width="24"/>
    <col collapsed="false" customWidth="true" hidden="false" outlineLevel="0" max="12" min="12" style="1" width="12"/>
  </cols>
  <sheetData>
    <row r="2" customFormat="false" ht="31.5" hidden="false" customHeight="true" outlineLevel="0" collapsed="false">
      <c r="B2" s="2" t="s">
        <v>1087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1088</v>
      </c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21.75" hidden="false" customHeight="true" outlineLevel="0" collapsed="false">
      <c r="B6" s="8" t="s">
        <v>1089</v>
      </c>
      <c r="C6" s="13" t="n">
        <v>4.99</v>
      </c>
    </row>
    <row r="7" customFormat="false" ht="21.75" hidden="false" customHeight="true" outlineLevel="0" collapsed="false">
      <c r="B7" s="10" t="s">
        <v>1090</v>
      </c>
      <c r="C7" s="14" t="n">
        <v>9.99</v>
      </c>
    </row>
    <row r="8" customFormat="false" ht="21.75" hidden="false" customHeight="true" outlineLevel="0" collapsed="false">
      <c r="B8" s="8" t="s">
        <v>1091</v>
      </c>
      <c r="C8" s="13" t="n">
        <v>19.99</v>
      </c>
    </row>
    <row r="9" customFormat="false" ht="21.75" hidden="false" customHeight="true" outlineLevel="0" collapsed="false">
      <c r="B9" s="10" t="s">
        <v>1092</v>
      </c>
      <c r="C9" s="14" t="n">
        <v>0</v>
      </c>
    </row>
    <row r="11" customFormat="false" ht="24" hidden="false" customHeight="true" outlineLevel="0" collapsed="false">
      <c r="B11" s="3" t="s">
        <v>1093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27.75" hidden="false" customHeight="true" outlineLevel="0" collapsed="false">
      <c r="B12" s="6" t="s">
        <v>1094</v>
      </c>
      <c r="C12" s="6" t="s">
        <v>1095</v>
      </c>
      <c r="D12" s="6" t="s">
        <v>1096</v>
      </c>
      <c r="E12" s="6" t="s">
        <v>1097</v>
      </c>
      <c r="F12" s="6" t="s">
        <v>1098</v>
      </c>
      <c r="G12" s="6" t="s">
        <v>1099</v>
      </c>
      <c r="H12" s="6" t="s">
        <v>1100</v>
      </c>
      <c r="I12" s="6" t="s">
        <v>1101</v>
      </c>
      <c r="J12" s="6" t="s">
        <v>1102</v>
      </c>
      <c r="K12" s="6" t="s">
        <v>1103</v>
      </c>
      <c r="L12" s="6" t="s">
        <v>1104</v>
      </c>
    </row>
    <row r="13" customFormat="false" ht="21.75" hidden="false" customHeight="true" outlineLevel="0" collapsed="false">
      <c r="B13" s="8" t="s">
        <v>1105</v>
      </c>
      <c r="C13" s="7" t="n">
        <v>1</v>
      </c>
      <c r="D13" s="7" t="n">
        <v>0</v>
      </c>
      <c r="E13" s="7" t="n">
        <v>0</v>
      </c>
      <c r="F13" s="15" t="n">
        <f aca="false">C13*C6+D13*C7+E13*C8</f>
        <v>4.99</v>
      </c>
      <c r="G13" s="15" t="n">
        <f aca="false">F13*12/365</f>
        <v>0.164054794520548</v>
      </c>
      <c r="H13" s="16" t="n">
        <v>2</v>
      </c>
      <c r="I13" s="15" t="n">
        <f aca="false">G13*(1-H13/100)+C9</f>
        <v>0.160773698630137</v>
      </c>
      <c r="J13" s="8" t="s">
        <v>1106</v>
      </c>
      <c r="K13" s="8" t="s">
        <v>1107</v>
      </c>
      <c r="L13" s="8" t="s">
        <v>1108</v>
      </c>
    </row>
    <row r="14" customFormat="false" ht="21.75" hidden="false" customHeight="true" outlineLevel="0" collapsed="false">
      <c r="B14" s="10" t="s">
        <v>1109</v>
      </c>
      <c r="C14" s="9" t="n">
        <v>3</v>
      </c>
      <c r="D14" s="9" t="n">
        <v>1</v>
      </c>
      <c r="E14" s="9" t="n">
        <v>0</v>
      </c>
      <c r="F14" s="17" t="n">
        <f aca="false">C14*C6+D14*C7+E14*C8</f>
        <v>24.96</v>
      </c>
      <c r="G14" s="17" t="n">
        <f aca="false">F14*12/365</f>
        <v>0.820602739726027</v>
      </c>
      <c r="H14" s="18" t="n">
        <v>2.5</v>
      </c>
      <c r="I14" s="17" t="n">
        <f aca="false">G14*(1-H14/100)+C9</f>
        <v>0.800087671232877</v>
      </c>
      <c r="J14" s="10" t="s">
        <v>1110</v>
      </c>
      <c r="K14" s="10" t="s">
        <v>1111</v>
      </c>
      <c r="L14" s="10" t="s">
        <v>1112</v>
      </c>
    </row>
    <row r="15" customFormat="false" ht="21.75" hidden="false" customHeight="true" outlineLevel="0" collapsed="false">
      <c r="B15" s="8" t="s">
        <v>1113</v>
      </c>
      <c r="C15" s="7" t="n">
        <v>8</v>
      </c>
      <c r="D15" s="7" t="n">
        <v>3</v>
      </c>
      <c r="E15" s="7" t="n">
        <v>1</v>
      </c>
      <c r="F15" s="15" t="n">
        <f aca="false">C15*C6+D15*C7+E15*C8</f>
        <v>89.88</v>
      </c>
      <c r="G15" s="15" t="n">
        <f aca="false">F15*12/365</f>
        <v>2.95495890410959</v>
      </c>
      <c r="H15" s="16" t="n">
        <v>3</v>
      </c>
      <c r="I15" s="15" t="n">
        <f aca="false">G15*(1-H15/100)+C9</f>
        <v>2.8663101369863</v>
      </c>
      <c r="J15" s="8" t="s">
        <v>1114</v>
      </c>
      <c r="K15" s="8" t="s">
        <v>1115</v>
      </c>
      <c r="L15" s="8" t="s">
        <v>1116</v>
      </c>
    </row>
    <row r="16" customFormat="false" ht="21.75" hidden="false" customHeight="true" outlineLevel="0" collapsed="false">
      <c r="B16" s="10" t="s">
        <v>1117</v>
      </c>
      <c r="C16" s="9" t="n">
        <v>25</v>
      </c>
      <c r="D16" s="9" t="n">
        <v>8</v>
      </c>
      <c r="E16" s="9" t="n">
        <v>3</v>
      </c>
      <c r="F16" s="17" t="n">
        <f aca="false">C16*C6+D16*C7+E16*C8</f>
        <v>264.64</v>
      </c>
      <c r="G16" s="17" t="n">
        <f aca="false">F16*12/365</f>
        <v>8.70049315068493</v>
      </c>
      <c r="H16" s="18" t="n">
        <v>4</v>
      </c>
      <c r="I16" s="17" t="n">
        <f aca="false">G16*(1-H16/100)+C9</f>
        <v>8.35247342465753</v>
      </c>
      <c r="J16" s="10" t="s">
        <v>1118</v>
      </c>
      <c r="K16" s="10" t="s">
        <v>1119</v>
      </c>
      <c r="L16" s="10" t="s">
        <v>1120</v>
      </c>
    </row>
    <row r="17" customFormat="false" ht="21.75" hidden="false" customHeight="true" outlineLevel="0" collapsed="false">
      <c r="B17" s="8" t="s">
        <v>1121</v>
      </c>
      <c r="C17" s="7" t="n">
        <v>70</v>
      </c>
      <c r="D17" s="7" t="n">
        <v>25</v>
      </c>
      <c r="E17" s="7" t="n">
        <v>8</v>
      </c>
      <c r="F17" s="15" t="n">
        <f aca="false">C17*C6+D17*C7+E17*C8</f>
        <v>758.97</v>
      </c>
      <c r="G17" s="15" t="n">
        <f aca="false">F17*12/365</f>
        <v>24.9524383561644</v>
      </c>
      <c r="H17" s="16" t="n">
        <v>5</v>
      </c>
      <c r="I17" s="15" t="n">
        <f aca="false">G17*(1-H17/100)+C9</f>
        <v>23.7048164383562</v>
      </c>
      <c r="J17" s="8" t="s">
        <v>1122</v>
      </c>
      <c r="K17" s="8" t="s">
        <v>1123</v>
      </c>
      <c r="L17" s="8" t="s">
        <v>1124</v>
      </c>
    </row>
    <row r="19" customFormat="false" ht="34.3" hidden="false" customHeight="true" outlineLevel="0" collapsed="false">
      <c r="B19" s="5" t="s">
        <v>1125</v>
      </c>
      <c r="C19" s="5"/>
      <c r="D19" s="5"/>
      <c r="E19" s="5"/>
      <c r="F19" s="5"/>
      <c r="G19" s="5"/>
      <c r="H19" s="5"/>
      <c r="I19" s="5"/>
      <c r="J19" s="5"/>
      <c r="K19" s="5"/>
      <c r="L19" s="5"/>
    </row>
  </sheetData>
  <mergeCells count="4">
    <mergeCell ref="B2:L2"/>
    <mergeCell ref="B4:L4"/>
    <mergeCell ref="B11:L11"/>
    <mergeCell ref="B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60"/>
    <col collapsed="false" customWidth="true" hidden="false" outlineLevel="0" max="9" min="9" style="1" width="12"/>
  </cols>
  <sheetData>
    <row r="2" customFormat="false" ht="31.5" hidden="false" customHeight="true" outlineLevel="0" collapsed="false">
      <c r="B2" s="2" t="s">
        <v>1126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1127</v>
      </c>
      <c r="C4" s="6" t="s">
        <v>1128</v>
      </c>
      <c r="D4" s="6" t="s">
        <v>1129</v>
      </c>
      <c r="E4" s="6" t="s">
        <v>1130</v>
      </c>
      <c r="F4" s="6" t="s">
        <v>1131</v>
      </c>
      <c r="G4" s="6" t="s">
        <v>1132</v>
      </c>
      <c r="H4" s="6" t="s">
        <v>1133</v>
      </c>
      <c r="I4" s="6" t="s">
        <v>1134</v>
      </c>
    </row>
    <row r="5" customFormat="false" ht="21.75" hidden="false" customHeight="true" outlineLevel="0" collapsed="false">
      <c r="B5" s="8" t="s">
        <v>1135</v>
      </c>
      <c r="C5" s="8" t="s">
        <v>1136</v>
      </c>
      <c r="D5" s="8" t="s">
        <v>1137</v>
      </c>
      <c r="E5" s="8" t="s">
        <v>1138</v>
      </c>
      <c r="F5" s="8" t="s">
        <v>1139</v>
      </c>
      <c r="G5" s="8" t="s">
        <v>1140</v>
      </c>
      <c r="H5" s="8" t="s">
        <v>1141</v>
      </c>
      <c r="I5" s="8" t="s">
        <v>1142</v>
      </c>
    </row>
    <row r="6" customFormat="false" ht="21.75" hidden="false" customHeight="true" outlineLevel="0" collapsed="false">
      <c r="B6" s="10" t="s">
        <v>1143</v>
      </c>
      <c r="C6" s="10" t="s">
        <v>1144</v>
      </c>
      <c r="D6" s="10" t="s">
        <v>1145</v>
      </c>
      <c r="E6" s="10" t="s">
        <v>1146</v>
      </c>
      <c r="F6" s="10" t="s">
        <v>1147</v>
      </c>
      <c r="G6" s="10" t="s">
        <v>1148</v>
      </c>
      <c r="H6" s="10" t="s">
        <v>1149</v>
      </c>
      <c r="I6" s="10" t="s">
        <v>1142</v>
      </c>
    </row>
    <row r="7" customFormat="false" ht="21.75" hidden="false" customHeight="true" outlineLevel="0" collapsed="false">
      <c r="B7" s="8" t="s">
        <v>1150</v>
      </c>
      <c r="C7" s="8" t="s">
        <v>1151</v>
      </c>
      <c r="D7" s="8" t="s">
        <v>1152</v>
      </c>
      <c r="E7" s="8" t="s">
        <v>1153</v>
      </c>
      <c r="F7" s="8" t="s">
        <v>1154</v>
      </c>
      <c r="G7" s="8" t="s">
        <v>1155</v>
      </c>
      <c r="H7" s="8" t="s">
        <v>1156</v>
      </c>
      <c r="I7" s="8" t="s">
        <v>1157</v>
      </c>
    </row>
    <row r="8" customFormat="false" ht="21.75" hidden="false" customHeight="true" outlineLevel="0" collapsed="false">
      <c r="B8" s="10" t="s">
        <v>1158</v>
      </c>
      <c r="C8" s="10" t="s">
        <v>1159</v>
      </c>
      <c r="D8" s="10" t="s">
        <v>1160</v>
      </c>
      <c r="E8" s="10" t="s">
        <v>1161</v>
      </c>
      <c r="F8" s="10" t="s">
        <v>1162</v>
      </c>
      <c r="G8" s="10" t="s">
        <v>1163</v>
      </c>
      <c r="H8" s="10" t="s">
        <v>1164</v>
      </c>
      <c r="I8" s="10" t="s">
        <v>1142</v>
      </c>
    </row>
    <row r="9" customFormat="false" ht="21.75" hidden="false" customHeight="true" outlineLevel="0" collapsed="false">
      <c r="B9" s="8" t="s">
        <v>1165</v>
      </c>
      <c r="C9" s="8" t="s">
        <v>1166</v>
      </c>
      <c r="D9" s="8" t="s">
        <v>1167</v>
      </c>
      <c r="E9" s="8" t="s">
        <v>1168</v>
      </c>
      <c r="F9" s="8" t="s">
        <v>1169</v>
      </c>
      <c r="G9" s="8" t="s">
        <v>1170</v>
      </c>
      <c r="H9" s="8" t="s">
        <v>1171</v>
      </c>
      <c r="I9" s="8" t="s">
        <v>1157</v>
      </c>
    </row>
    <row r="10" customFormat="false" ht="21.75" hidden="false" customHeight="true" outlineLevel="0" collapsed="false">
      <c r="B10" s="10" t="s">
        <v>1172</v>
      </c>
      <c r="C10" s="10" t="s">
        <v>1173</v>
      </c>
      <c r="D10" s="10" t="s">
        <v>1174</v>
      </c>
      <c r="E10" s="10" t="s">
        <v>1175</v>
      </c>
      <c r="F10" s="10" t="s">
        <v>1162</v>
      </c>
      <c r="G10" s="10" t="s">
        <v>1176</v>
      </c>
      <c r="H10" s="10" t="s">
        <v>1177</v>
      </c>
      <c r="I10" s="10" t="s">
        <v>1178</v>
      </c>
    </row>
    <row r="11" customFormat="false" ht="21.75" hidden="false" customHeight="true" outlineLevel="0" collapsed="false">
      <c r="B11" s="8" t="s">
        <v>1179</v>
      </c>
      <c r="C11" s="8" t="s">
        <v>1180</v>
      </c>
      <c r="D11" s="8" t="s">
        <v>1181</v>
      </c>
      <c r="E11" s="8" t="s">
        <v>1182</v>
      </c>
      <c r="F11" s="8" t="s">
        <v>1183</v>
      </c>
      <c r="G11" s="8" t="s">
        <v>1184</v>
      </c>
      <c r="H11" s="8" t="s">
        <v>1185</v>
      </c>
      <c r="I11" s="8" t="s">
        <v>1186</v>
      </c>
    </row>
    <row r="12" customFormat="false" ht="21.75" hidden="false" customHeight="true" outlineLevel="0" collapsed="false">
      <c r="B12" s="10" t="s">
        <v>1187</v>
      </c>
      <c r="C12" s="10" t="s">
        <v>1188</v>
      </c>
      <c r="D12" s="10" t="s">
        <v>1189</v>
      </c>
      <c r="E12" s="10" t="s">
        <v>1153</v>
      </c>
      <c r="F12" s="10" t="s">
        <v>1189</v>
      </c>
      <c r="G12" s="10" t="s">
        <v>1189</v>
      </c>
      <c r="H12" s="10" t="s">
        <v>1190</v>
      </c>
      <c r="I12" s="10" t="s">
        <v>1142</v>
      </c>
    </row>
    <row r="13" customFormat="false" ht="21.75" hidden="false" customHeight="true" outlineLevel="0" collapsed="false">
      <c r="B13" s="8" t="s">
        <v>1191</v>
      </c>
      <c r="C13" s="8" t="s">
        <v>1188</v>
      </c>
      <c r="D13" s="8" t="s">
        <v>1189</v>
      </c>
      <c r="E13" s="8" t="s">
        <v>1189</v>
      </c>
      <c r="F13" s="8" t="s">
        <v>1189</v>
      </c>
      <c r="G13" s="8" t="s">
        <v>1189</v>
      </c>
      <c r="H13" s="8" t="s">
        <v>1192</v>
      </c>
      <c r="I13" s="8" t="s">
        <v>1142</v>
      </c>
    </row>
    <row r="14" customFormat="false" ht="21.75" hidden="false" customHeight="true" outlineLevel="0" collapsed="false">
      <c r="B14" s="10" t="s">
        <v>1193</v>
      </c>
      <c r="C14" s="10" t="s">
        <v>1194</v>
      </c>
      <c r="D14" s="10" t="s">
        <v>1195</v>
      </c>
      <c r="E14" s="10" t="s">
        <v>1189</v>
      </c>
      <c r="F14" s="10" t="s">
        <v>1189</v>
      </c>
      <c r="G14" s="10" t="s">
        <v>1189</v>
      </c>
      <c r="H14" s="10" t="s">
        <v>1196</v>
      </c>
      <c r="I14" s="10" t="s">
        <v>1197</v>
      </c>
    </row>
    <row r="15" customFormat="false" ht="21.75" hidden="false" customHeight="true" outlineLevel="0" collapsed="false">
      <c r="B15" s="8" t="s">
        <v>1198</v>
      </c>
      <c r="C15" s="8" t="s">
        <v>1199</v>
      </c>
      <c r="D15" s="8" t="s">
        <v>1189</v>
      </c>
      <c r="E15" s="8" t="s">
        <v>1189</v>
      </c>
      <c r="F15" s="8" t="s">
        <v>1189</v>
      </c>
      <c r="G15" s="8" t="s">
        <v>1189</v>
      </c>
      <c r="H15" s="8" t="s">
        <v>1200</v>
      </c>
      <c r="I15" s="8" t="s">
        <v>1186</v>
      </c>
    </row>
    <row r="17" customFormat="false" ht="15" hidden="false" customHeight="true" outlineLevel="0" collapsed="false">
      <c r="B17" s="5" t="s">
        <v>1201</v>
      </c>
      <c r="C17" s="5"/>
      <c r="D17" s="5"/>
      <c r="E17" s="5"/>
      <c r="F17" s="5"/>
      <c r="G17" s="5"/>
      <c r="H17" s="5"/>
      <c r="I17" s="5"/>
      <c r="J17" s="5"/>
    </row>
  </sheetData>
  <mergeCells count="2">
    <mergeCell ref="B2:J2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40"/>
    <col collapsed="false" customWidth="true" hidden="false" outlineLevel="0" max="5" min="5" style="1" width="34"/>
  </cols>
  <sheetData>
    <row r="2" customFormat="false" ht="31.5" hidden="false" customHeight="true" outlineLevel="0" collapsed="false">
      <c r="B2" s="2" t="s">
        <v>1202</v>
      </c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1203</v>
      </c>
      <c r="C4" s="6" t="s">
        <v>1204</v>
      </c>
      <c r="D4" s="6" t="s">
        <v>1205</v>
      </c>
      <c r="E4" s="6" t="s">
        <v>1206</v>
      </c>
    </row>
    <row r="5" customFormat="false" ht="21.75" hidden="false" customHeight="true" outlineLevel="0" collapsed="false">
      <c r="B5" s="8" t="s">
        <v>1207</v>
      </c>
      <c r="C5" s="8" t="s">
        <v>1208</v>
      </c>
      <c r="D5" s="8" t="s">
        <v>1209</v>
      </c>
      <c r="E5" s="8" t="s">
        <v>1210</v>
      </c>
    </row>
    <row r="6" customFormat="false" ht="21.75" hidden="false" customHeight="true" outlineLevel="0" collapsed="false">
      <c r="B6" s="10" t="s">
        <v>1211</v>
      </c>
      <c r="C6" s="10" t="s">
        <v>1212</v>
      </c>
      <c r="D6" s="10" t="s">
        <v>1213</v>
      </c>
      <c r="E6" s="10" t="s">
        <v>1214</v>
      </c>
    </row>
    <row r="7" customFormat="false" ht="21.75" hidden="false" customHeight="true" outlineLevel="0" collapsed="false">
      <c r="B7" s="8" t="s">
        <v>1215</v>
      </c>
      <c r="C7" s="8" t="s">
        <v>1216</v>
      </c>
      <c r="D7" s="8" t="s">
        <v>1217</v>
      </c>
      <c r="E7" s="8" t="s">
        <v>1218</v>
      </c>
    </row>
    <row r="8" customFormat="false" ht="21.75" hidden="false" customHeight="true" outlineLevel="0" collapsed="false">
      <c r="B8" s="10" t="s">
        <v>1219</v>
      </c>
      <c r="C8" s="10" t="s">
        <v>1220</v>
      </c>
      <c r="D8" s="10" t="s">
        <v>1213</v>
      </c>
      <c r="E8" s="10" t="s">
        <v>1221</v>
      </c>
    </row>
    <row r="9" customFormat="false" ht="21.75" hidden="false" customHeight="true" outlineLevel="0" collapsed="false">
      <c r="B9" s="8" t="s">
        <v>1222</v>
      </c>
      <c r="C9" s="8" t="s">
        <v>1223</v>
      </c>
      <c r="D9" s="8" t="s">
        <v>1213</v>
      </c>
      <c r="E9" s="8" t="s">
        <v>1224</v>
      </c>
    </row>
    <row r="10" customFormat="false" ht="21.75" hidden="false" customHeight="true" outlineLevel="0" collapsed="false">
      <c r="B10" s="10" t="s">
        <v>1225</v>
      </c>
      <c r="C10" s="10" t="s">
        <v>1226</v>
      </c>
      <c r="D10" s="10" t="s">
        <v>1227</v>
      </c>
      <c r="E10" s="10" t="s">
        <v>1228</v>
      </c>
    </row>
    <row r="11" customFormat="false" ht="21.75" hidden="false" customHeight="true" outlineLevel="0" collapsed="false">
      <c r="B11" s="8" t="s">
        <v>1229</v>
      </c>
      <c r="C11" s="8" t="s">
        <v>1230</v>
      </c>
      <c r="D11" s="8" t="s">
        <v>1231</v>
      </c>
      <c r="E11" s="8" t="s">
        <v>1232</v>
      </c>
    </row>
    <row r="12" customFormat="false" ht="21.75" hidden="false" customHeight="true" outlineLevel="0" collapsed="false">
      <c r="B12" s="10" t="s">
        <v>1233</v>
      </c>
      <c r="C12" s="10" t="s">
        <v>1234</v>
      </c>
      <c r="D12" s="10" t="s">
        <v>1235</v>
      </c>
      <c r="E12" s="10" t="s">
        <v>1236</v>
      </c>
    </row>
    <row r="13" customFormat="false" ht="21.75" hidden="false" customHeight="true" outlineLevel="0" collapsed="false">
      <c r="B13" s="8" t="s">
        <v>1237</v>
      </c>
      <c r="C13" s="8" t="s">
        <v>1238</v>
      </c>
      <c r="D13" s="8" t="s">
        <v>1239</v>
      </c>
      <c r="E13" s="8" t="s">
        <v>1240</v>
      </c>
    </row>
    <row r="14" customFormat="false" ht="21.75" hidden="false" customHeight="true" outlineLevel="0" collapsed="false">
      <c r="B14" s="10" t="s">
        <v>1241</v>
      </c>
      <c r="C14" s="10" t="s">
        <v>1242</v>
      </c>
      <c r="D14" s="10" t="s">
        <v>1243</v>
      </c>
      <c r="E14" s="10" t="s">
        <v>1244</v>
      </c>
    </row>
    <row r="15" customFormat="false" ht="21.75" hidden="false" customHeight="true" outlineLevel="0" collapsed="false">
      <c r="B15" s="8" t="s">
        <v>1245</v>
      </c>
      <c r="C15" s="8" t="s">
        <v>1246</v>
      </c>
      <c r="D15" s="8" t="s">
        <v>1247</v>
      </c>
      <c r="E15" s="8" t="s">
        <v>1248</v>
      </c>
    </row>
    <row r="16" customFormat="false" ht="21.75" hidden="false" customHeight="true" outlineLevel="0" collapsed="false">
      <c r="B16" s="10" t="s">
        <v>1249</v>
      </c>
      <c r="C16" s="10" t="s">
        <v>1250</v>
      </c>
      <c r="D16" s="10" t="s">
        <v>1251</v>
      </c>
      <c r="E16" s="10" t="s">
        <v>1252</v>
      </c>
    </row>
    <row r="17" customFormat="false" ht="21.75" hidden="false" customHeight="true" outlineLevel="0" collapsed="false">
      <c r="B17" s="8" t="s">
        <v>1253</v>
      </c>
      <c r="C17" s="8" t="s">
        <v>1254</v>
      </c>
      <c r="D17" s="8" t="s">
        <v>1213</v>
      </c>
      <c r="E17" s="8" t="s">
        <v>1255</v>
      </c>
    </row>
    <row r="18" customFormat="false" ht="21.75" hidden="false" customHeight="true" outlineLevel="0" collapsed="false">
      <c r="B18" s="10" t="s">
        <v>1256</v>
      </c>
      <c r="C18" s="10" t="s">
        <v>1257</v>
      </c>
      <c r="D18" s="10" t="s">
        <v>1213</v>
      </c>
      <c r="E18" s="10" t="s">
        <v>1258</v>
      </c>
    </row>
    <row r="19" customFormat="false" ht="21.75" hidden="false" customHeight="true" outlineLevel="0" collapsed="false">
      <c r="B19" s="8" t="s">
        <v>1259</v>
      </c>
      <c r="C19" s="8" t="s">
        <v>1260</v>
      </c>
      <c r="D19" s="8" t="s">
        <v>1261</v>
      </c>
      <c r="E19" s="8" t="s">
        <v>1262</v>
      </c>
    </row>
    <row r="20" customFormat="false" ht="21.75" hidden="false" customHeight="true" outlineLevel="0" collapsed="false">
      <c r="B20" s="10" t="s">
        <v>1263</v>
      </c>
      <c r="C20" s="10" t="s">
        <v>1264</v>
      </c>
      <c r="D20" s="10" t="s">
        <v>1213</v>
      </c>
      <c r="E20" s="10" t="s">
        <v>1265</v>
      </c>
    </row>
    <row r="21" customFormat="false" ht="21.75" hidden="false" customHeight="true" outlineLevel="0" collapsed="false">
      <c r="B21" s="8" t="s">
        <v>1266</v>
      </c>
      <c r="C21" s="8" t="s">
        <v>1267</v>
      </c>
      <c r="D21" s="8" t="s">
        <v>1268</v>
      </c>
      <c r="E21" s="8" t="s">
        <v>1269</v>
      </c>
    </row>
    <row r="23" customFormat="false" ht="15" hidden="false" customHeight="true" outlineLevel="0" collapsed="false">
      <c r="B23" s="5" t="s">
        <v>1270</v>
      </c>
      <c r="C23" s="5"/>
      <c r="D23" s="5"/>
      <c r="E23" s="5"/>
      <c r="F23" s="5"/>
      <c r="G23" s="5"/>
    </row>
  </sheetData>
  <mergeCells count="2">
    <mergeCell ref="B2:G2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44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28"/>
  </cols>
  <sheetData>
    <row r="2" customFormat="false" ht="31.5" hidden="false" customHeight="true" outlineLevel="0" collapsed="false">
      <c r="B2" s="2" t="s">
        <v>1271</v>
      </c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1272</v>
      </c>
      <c r="C4" s="6" t="s">
        <v>1273</v>
      </c>
      <c r="D4" s="6" t="s">
        <v>1274</v>
      </c>
      <c r="E4" s="6" t="s">
        <v>1275</v>
      </c>
      <c r="F4" s="6" t="s">
        <v>1276</v>
      </c>
    </row>
    <row r="5" customFormat="false" ht="21.75" hidden="false" customHeight="true" outlineLevel="0" collapsed="false">
      <c r="B5" s="8" t="s">
        <v>1277</v>
      </c>
      <c r="C5" s="8" t="s">
        <v>1278</v>
      </c>
      <c r="D5" s="8" t="s">
        <v>1279</v>
      </c>
      <c r="E5" s="8" t="s">
        <v>1280</v>
      </c>
      <c r="F5" s="8" t="s">
        <v>1281</v>
      </c>
    </row>
    <row r="6" customFormat="false" ht="21.75" hidden="false" customHeight="true" outlineLevel="0" collapsed="false">
      <c r="B6" s="10" t="s">
        <v>1282</v>
      </c>
      <c r="C6" s="10" t="s">
        <v>1283</v>
      </c>
      <c r="D6" s="10" t="s">
        <v>1279</v>
      </c>
      <c r="E6" s="10" t="s">
        <v>1284</v>
      </c>
      <c r="F6" s="10" t="s">
        <v>1285</v>
      </c>
    </row>
    <row r="7" customFormat="false" ht="21.75" hidden="false" customHeight="true" outlineLevel="0" collapsed="false">
      <c r="B7" s="8" t="s">
        <v>1286</v>
      </c>
      <c r="C7" s="8" t="s">
        <v>1287</v>
      </c>
      <c r="D7" s="8" t="s">
        <v>1279</v>
      </c>
      <c r="E7" s="8" t="s">
        <v>1288</v>
      </c>
      <c r="F7" s="8" t="s">
        <v>1289</v>
      </c>
    </row>
    <row r="8" customFormat="false" ht="21.75" hidden="false" customHeight="true" outlineLevel="0" collapsed="false">
      <c r="B8" s="10" t="s">
        <v>1290</v>
      </c>
      <c r="C8" s="10" t="s">
        <v>1291</v>
      </c>
      <c r="D8" s="10" t="s">
        <v>1279</v>
      </c>
      <c r="E8" s="10" t="s">
        <v>1213</v>
      </c>
      <c r="F8" s="10" t="s">
        <v>1292</v>
      </c>
    </row>
    <row r="9" customFormat="false" ht="21.75" hidden="false" customHeight="true" outlineLevel="0" collapsed="false">
      <c r="B9" s="8" t="s">
        <v>1293</v>
      </c>
      <c r="C9" s="8" t="s">
        <v>1294</v>
      </c>
      <c r="D9" s="8" t="s">
        <v>1295</v>
      </c>
      <c r="E9" s="8" t="s">
        <v>1213</v>
      </c>
      <c r="F9" s="8" t="s">
        <v>1292</v>
      </c>
    </row>
    <row r="10" customFormat="false" ht="21.75" hidden="false" customHeight="true" outlineLevel="0" collapsed="false">
      <c r="B10" s="10" t="s">
        <v>1296</v>
      </c>
      <c r="C10" s="10" t="s">
        <v>1297</v>
      </c>
      <c r="D10" s="10" t="s">
        <v>1279</v>
      </c>
      <c r="E10" s="10" t="s">
        <v>1298</v>
      </c>
      <c r="F10" s="10" t="s">
        <v>1299</v>
      </c>
    </row>
    <row r="11" customFormat="false" ht="21.75" hidden="false" customHeight="true" outlineLevel="0" collapsed="false">
      <c r="B11" s="8" t="s">
        <v>1300</v>
      </c>
      <c r="C11" s="8" t="s">
        <v>1301</v>
      </c>
      <c r="D11" s="8" t="s">
        <v>1279</v>
      </c>
      <c r="E11" s="8" t="s">
        <v>1302</v>
      </c>
      <c r="F11" s="8" t="s">
        <v>1303</v>
      </c>
    </row>
    <row r="12" customFormat="false" ht="21.75" hidden="false" customHeight="true" outlineLevel="0" collapsed="false">
      <c r="B12" s="10" t="s">
        <v>1304</v>
      </c>
      <c r="C12" s="10" t="s">
        <v>1305</v>
      </c>
      <c r="D12" s="10" t="s">
        <v>1279</v>
      </c>
      <c r="E12" s="10" t="s">
        <v>1213</v>
      </c>
      <c r="F12" s="10" t="s">
        <v>1306</v>
      </c>
    </row>
    <row r="13" customFormat="false" ht="21.75" hidden="false" customHeight="true" outlineLevel="0" collapsed="false">
      <c r="B13" s="8" t="s">
        <v>1307</v>
      </c>
      <c r="C13" s="8" t="s">
        <v>1308</v>
      </c>
      <c r="D13" s="8" t="s">
        <v>1189</v>
      </c>
      <c r="E13" s="8" t="s">
        <v>1213</v>
      </c>
      <c r="F13" s="8" t="s">
        <v>1309</v>
      </c>
    </row>
    <row r="14" customFormat="false" ht="21.75" hidden="false" customHeight="true" outlineLevel="0" collapsed="false">
      <c r="B14" s="10" t="s">
        <v>1310</v>
      </c>
      <c r="C14" s="10" t="s">
        <v>1311</v>
      </c>
      <c r="D14" s="10" t="s">
        <v>1189</v>
      </c>
      <c r="E14" s="10" t="s">
        <v>1213</v>
      </c>
      <c r="F14" s="10" t="s">
        <v>1312</v>
      </c>
    </row>
    <row r="16" customFormat="false" ht="22.35" hidden="false" customHeight="true" outlineLevel="0" collapsed="false">
      <c r="B16" s="5" t="s">
        <v>1313</v>
      </c>
      <c r="C16" s="5"/>
      <c r="D16" s="5"/>
      <c r="E16" s="5"/>
      <c r="F16" s="5"/>
      <c r="G16" s="5"/>
    </row>
  </sheetData>
  <mergeCells count="2">
    <mergeCell ref="B2:G2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2"/>
  </cols>
  <sheetData>
    <row r="2" customFormat="false" ht="31.5" hidden="false" customHeight="true" outlineLevel="0" collapsed="false">
      <c r="B2" s="2" t="s">
        <v>1314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1315</v>
      </c>
      <c r="C4" s="6" t="s">
        <v>1316</v>
      </c>
      <c r="D4" s="6" t="s">
        <v>1317</v>
      </c>
      <c r="E4" s="6" t="s">
        <v>1318</v>
      </c>
    </row>
    <row r="5" customFormat="false" ht="21.75" hidden="false" customHeight="true" outlineLevel="0" collapsed="false">
      <c r="B5" s="8" t="s">
        <v>1319</v>
      </c>
      <c r="C5" s="8" t="n">
        <v>247</v>
      </c>
      <c r="D5" s="8" t="n">
        <f aca="false">COUNTA(Opportunities!C5:C251)</f>
        <v>247</v>
      </c>
      <c r="E5" s="8" t="str">
        <f aca="false">IF(ROUND(C5,2)=ROUND(D5,2),"PASS","FAIL")</f>
        <v>PASS</v>
      </c>
    </row>
    <row r="6" customFormat="false" ht="21.75" hidden="false" customHeight="true" outlineLevel="0" collapsed="false">
      <c r="B6" s="10" t="s">
        <v>1320</v>
      </c>
      <c r="C6" s="10" t="n">
        <v>50</v>
      </c>
      <c r="D6" s="10" t="n">
        <f aca="false">COUNTA('Top 50'!C5:C54)</f>
        <v>50</v>
      </c>
      <c r="E6" s="10" t="str">
        <f aca="false">IF(ROUND(C6,2)=ROUND(D6,2),"PASS","FAIL")</f>
        <v>PASS</v>
      </c>
    </row>
    <row r="7" customFormat="false" ht="21.75" hidden="false" customHeight="true" outlineLevel="0" collapsed="false">
      <c r="B7" s="8" t="s">
        <v>1321</v>
      </c>
      <c r="C7" s="8" t="n">
        <v>247</v>
      </c>
      <c r="D7" s="8" t="n">
        <f aca="false">Clusters!C12</f>
        <v>247</v>
      </c>
      <c r="E7" s="8" t="str">
        <f aca="false">IF(ROUND(C7,2)=ROUND(D7,2),"PASS","FAIL")</f>
        <v>PASS</v>
      </c>
    </row>
    <row r="8" customFormat="false" ht="21.75" hidden="false" customHeight="true" outlineLevel="0" collapsed="false">
      <c r="B8" s="10" t="s">
        <v>1322</v>
      </c>
      <c r="C8" s="10" t="n">
        <v>24.96</v>
      </c>
      <c r="D8" s="14" t="n">
        <f aca="false">'Revenue Scenarios'!F14</f>
        <v>24.96</v>
      </c>
      <c r="E8" s="10" t="str">
        <f aca="false">IF(ROUND(C8,2)=ROUND(D8,2),"PASS","FAIL")</f>
        <v>PASS</v>
      </c>
    </row>
    <row r="9" customFormat="false" ht="21.75" hidden="false" customHeight="true" outlineLevel="0" collapsed="false">
      <c r="B9" s="8" t="s">
        <v>1323</v>
      </c>
      <c r="C9" s="8" t="n">
        <v>247</v>
      </c>
      <c r="D9" s="8" t="n">
        <f aca="false">COUNTIF(Opportunities!S5:S251,"LTV")+COUNTIF(Opportunities!S5:S251,"PRO")+COUNTIF(Opportunities!S5:S251,"HOOK")+COUNTIF(Opportunities!S5:S251,"GLUE")</f>
        <v>247</v>
      </c>
      <c r="E9" s="8" t="str">
        <f aca="false">IF(ROUND(C9,2)=ROUND(D9,2),"PASS","FAIL")</f>
        <v>PASS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2026-09-02T17:20:29Z</dcterms:created>
  <dc:creator>Z.ai</dc:creator>
  <dc:description/>
  <dc:language>en-US</dc:language>
  <cp:lastModifiedBy/>
  <dcterms:modified xsi:type="dcterms:W3CDTF">2026-09-02T17:20:30Z</dcterms:modified>
  <cp:revision>0</cp:revision>
  <dc:subject/>
  <dc:title>FRAZIYM Opportunity Database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